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3f11c5d5984185a/Desktop/"/>
    </mc:Choice>
  </mc:AlternateContent>
  <xr:revisionPtr revIDLastSave="0" documentId="8_{B8C513E6-25E1-43D9-838B-443E98474FA3}" xr6:coauthVersionLast="47" xr6:coauthVersionMax="47" xr10:uidLastSave="{00000000-0000-0000-0000-000000000000}"/>
  <bookViews>
    <workbookView xWindow="-110" yWindow="-110" windowWidth="19420" windowHeight="10300" tabRatio="809" xr2:uid="{9332DDC3-D5AE-41F6-B967-C12A7565711A}"/>
  </bookViews>
  <sheets>
    <sheet name="Error Checking" sheetId="8" r:id="rId1"/>
    <sheet name="INSTRUCTIONS" sheetId="14" r:id="rId2"/>
    <sheet name="Summary Dashboard" sheetId="13" r:id="rId3"/>
    <sheet name="Variance Analysis" sheetId="18" r:id="rId4"/>
    <sheet name="Rolling CF" sheetId="15" r:id="rId5"/>
    <sheet name="13 weeks CF" sheetId="5" r:id="rId6"/>
    <sheet name="AR Aging 02" sheetId="17" r:id="rId7"/>
    <sheet name="AR Aging 01" sheetId="12" r:id="rId8"/>
    <sheet name="AP Aging 02" sheetId="16" r:id="rId9"/>
    <sheet name="AP Aging 01" sheetId="11" r:id="rId10"/>
    <sheet name="Actuals" sheetId="1" r:id="rId11"/>
    <sheet name="Transaction Mapping" sheetId="10" r:id="rId12"/>
    <sheet name="Formula Helpers" sheetId="4" r:id="rId13"/>
  </sheets>
  <definedNames>
    <definedName name="_xlnm._FilterDatabase" localSheetId="10" hidden="1">Actuals!$A$1:$J$432</definedName>
    <definedName name="_xlnm._FilterDatabase" localSheetId="9" hidden="1">'AP Aging 01'!$A$2:$K$2</definedName>
    <definedName name="_xlnm._FilterDatabase" localSheetId="8" hidden="1">'AP Aging 02'!$A$2:$K$2</definedName>
    <definedName name="_xlnm._FilterDatabase" localSheetId="7" hidden="1">'AR Aging 01'!$A$2:$J$2</definedName>
    <definedName name="_xlnm._FilterDatabase" localSheetId="6" hidden="1">'AR Aging 02'!$A$2:$J$2</definedName>
    <definedName name="_xlnm.Print_Area" localSheetId="2">'Summary Dashboard'!$A$1:$V$76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8" l="1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E20" i="18"/>
  <c r="L11" i="18"/>
  <c r="M11" i="18"/>
  <c r="N11" i="18"/>
  <c r="O11" i="18"/>
  <c r="P11" i="18"/>
  <c r="Q11" i="18"/>
  <c r="R11" i="18"/>
  <c r="S11" i="18"/>
  <c r="T11" i="18"/>
  <c r="U11" i="18"/>
  <c r="V11" i="18"/>
  <c r="V17" i="18" s="1"/>
  <c r="V18" i="18" s="1"/>
  <c r="W11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F12" i="18"/>
  <c r="G12" i="18"/>
  <c r="H12" i="18"/>
  <c r="I12" i="18"/>
  <c r="J12" i="18"/>
  <c r="K12" i="18"/>
  <c r="F13" i="18"/>
  <c r="G13" i="18"/>
  <c r="H13" i="18"/>
  <c r="I13" i="18"/>
  <c r="I17" i="18" s="1"/>
  <c r="I18" i="18" s="1"/>
  <c r="J13" i="18"/>
  <c r="J17" i="18" s="1"/>
  <c r="J18" i="18" s="1"/>
  <c r="K13" i="18"/>
  <c r="F14" i="18"/>
  <c r="G14" i="18"/>
  <c r="H14" i="18"/>
  <c r="I14" i="18"/>
  <c r="J14" i="18"/>
  <c r="K14" i="18"/>
  <c r="F15" i="18"/>
  <c r="G15" i="18"/>
  <c r="H15" i="18"/>
  <c r="I15" i="18"/>
  <c r="J15" i="18"/>
  <c r="K15" i="18"/>
  <c r="E15" i="18"/>
  <c r="E14" i="18"/>
  <c r="E13" i="18"/>
  <c r="E12" i="18"/>
  <c r="I11" i="18"/>
  <c r="J11" i="18"/>
  <c r="K11" i="18"/>
  <c r="F11" i="18"/>
  <c r="G11" i="18"/>
  <c r="H11" i="18"/>
  <c r="E11" i="18"/>
  <c r="W39" i="18" a="1"/>
  <c r="W39" i="18" s="1"/>
  <c r="V39" i="18" a="1"/>
  <c r="V39" i="18" s="1"/>
  <c r="U39" i="18"/>
  <c r="U39" i="18" a="1"/>
  <c r="T39" i="18" a="1"/>
  <c r="T39" i="18" s="1"/>
  <c r="T40" i="18" s="1"/>
  <c r="S39" i="18" a="1"/>
  <c r="S39" i="18" s="1"/>
  <c r="S40" i="18" s="1"/>
  <c r="R39" i="18" a="1"/>
  <c r="R39" i="18" s="1"/>
  <c r="R40" i="18" s="1"/>
  <c r="Q39" i="18" a="1"/>
  <c r="Q39" i="18" s="1"/>
  <c r="P39" i="18" a="1"/>
  <c r="P39" i="18" s="1"/>
  <c r="P40" i="18" s="1"/>
  <c r="O39" i="18"/>
  <c r="O39" i="18" a="1"/>
  <c r="N39" i="18" a="1"/>
  <c r="N39" i="18" s="1"/>
  <c r="N40" i="18" s="1"/>
  <c r="M39" i="18" a="1"/>
  <c r="M39" i="18" s="1"/>
  <c r="L39" i="18" a="1"/>
  <c r="L39" i="18" s="1"/>
  <c r="K39" i="18" a="1"/>
  <c r="K39" i="18" s="1"/>
  <c r="J39" i="18" a="1"/>
  <c r="J39" i="18" s="1"/>
  <c r="I39" i="18"/>
  <c r="I40" i="18" s="1"/>
  <c r="I39" i="18" a="1"/>
  <c r="H39" i="18" a="1"/>
  <c r="H39" i="18" s="1"/>
  <c r="H40" i="18" s="1"/>
  <c r="G39" i="18" a="1"/>
  <c r="G39" i="18" s="1"/>
  <c r="G40" i="18" s="1"/>
  <c r="F39" i="18" a="1"/>
  <c r="F39" i="18" s="1"/>
  <c r="F40" i="18" s="1"/>
  <c r="E39" i="18" a="1"/>
  <c r="E39" i="18" s="1"/>
  <c r="E40" i="18" s="1"/>
  <c r="W38" i="18" a="1"/>
  <c r="W38" i="18" s="1"/>
  <c r="V38" i="18" a="1"/>
  <c r="V38" i="18" s="1"/>
  <c r="U38" i="18" a="1"/>
  <c r="U38" i="18" s="1"/>
  <c r="T38" i="18" a="1"/>
  <c r="T38" i="18" s="1"/>
  <c r="S38" i="18" a="1"/>
  <c r="S38" i="18" s="1"/>
  <c r="R38" i="18" a="1"/>
  <c r="R38" i="18" s="1"/>
  <c r="Q38" i="18" a="1"/>
  <c r="Q38" i="18" s="1"/>
  <c r="P38" i="18" a="1"/>
  <c r="P38" i="18" s="1"/>
  <c r="O38" i="18" a="1"/>
  <c r="O38" i="18" s="1"/>
  <c r="N38" i="18" a="1"/>
  <c r="N38" i="18" s="1"/>
  <c r="M38" i="18" a="1"/>
  <c r="M38" i="18" s="1"/>
  <c r="L38" i="18" a="1"/>
  <c r="L38" i="18" s="1"/>
  <c r="K38" i="18" a="1"/>
  <c r="K38" i="18" s="1"/>
  <c r="J38" i="18" a="1"/>
  <c r="J38" i="18" s="1"/>
  <c r="I38" i="18" a="1"/>
  <c r="I38" i="18" s="1"/>
  <c r="H38" i="18" a="1"/>
  <c r="H38" i="18" s="1"/>
  <c r="G38" i="18" a="1"/>
  <c r="G38" i="18" s="1"/>
  <c r="F38" i="18" a="1"/>
  <c r="F38" i="18" s="1"/>
  <c r="E38" i="18" a="1"/>
  <c r="E38" i="18" s="1"/>
  <c r="W35" i="18" a="1"/>
  <c r="W35" i="18" s="1"/>
  <c r="V35" i="18" a="1"/>
  <c r="V35" i="18" s="1"/>
  <c r="U35" i="18" a="1"/>
  <c r="U35" i="18" s="1"/>
  <c r="T35" i="18" a="1"/>
  <c r="T35" i="18" s="1"/>
  <c r="S35" i="18" a="1"/>
  <c r="S35" i="18" s="1"/>
  <c r="R35" i="18" a="1"/>
  <c r="R35" i="18" s="1"/>
  <c r="R36" i="18" s="1"/>
  <c r="Q35" i="18" a="1"/>
  <c r="Q35" i="18" s="1"/>
  <c r="Q36" i="18" s="1"/>
  <c r="P35" i="18" a="1"/>
  <c r="P35" i="18" s="1"/>
  <c r="P36" i="18" s="1"/>
  <c r="O35" i="18" a="1"/>
  <c r="O35" i="18" s="1"/>
  <c r="O36" i="18" s="1"/>
  <c r="N35" i="18" a="1"/>
  <c r="N35" i="18" s="1"/>
  <c r="N36" i="18" s="1"/>
  <c r="M35" i="18" a="1"/>
  <c r="M35" i="18" s="1"/>
  <c r="M36" i="18" s="1"/>
  <c r="L35" i="18" a="1"/>
  <c r="L35" i="18" s="1"/>
  <c r="L36" i="18" s="1"/>
  <c r="K35" i="18" a="1"/>
  <c r="K35" i="18" s="1"/>
  <c r="J35" i="18" a="1"/>
  <c r="J35" i="18" s="1"/>
  <c r="I35" i="18" a="1"/>
  <c r="I35" i="18" s="1"/>
  <c r="H35" i="18" a="1"/>
  <c r="H35" i="18" s="1"/>
  <c r="G35" i="18" a="1"/>
  <c r="G35" i="18" s="1"/>
  <c r="F35" i="18" a="1"/>
  <c r="F35" i="18" s="1"/>
  <c r="F36" i="18" s="1"/>
  <c r="E35" i="18" a="1"/>
  <c r="E35" i="18" s="1"/>
  <c r="E36" i="18" s="1"/>
  <c r="W34" i="18" a="1"/>
  <c r="W34" i="18" s="1"/>
  <c r="V34" i="18" a="1"/>
  <c r="V34" i="18" s="1"/>
  <c r="U34" i="18" a="1"/>
  <c r="U34" i="18" s="1"/>
  <c r="T34" i="18" a="1"/>
  <c r="T34" i="18" s="1"/>
  <c r="S34" i="18" a="1"/>
  <c r="S34" i="18" s="1"/>
  <c r="R34" i="18" a="1"/>
  <c r="R34" i="18" s="1"/>
  <c r="Q34" i="18" a="1"/>
  <c r="Q34" i="18" s="1"/>
  <c r="P34" i="18" a="1"/>
  <c r="P34" i="18" s="1"/>
  <c r="O34" i="18" a="1"/>
  <c r="O34" i="18" s="1"/>
  <c r="N34" i="18" a="1"/>
  <c r="N34" i="18" s="1"/>
  <c r="M34" i="18" a="1"/>
  <c r="M34" i="18" s="1"/>
  <c r="L34" i="18" a="1"/>
  <c r="L34" i="18" s="1"/>
  <c r="K34" i="18" a="1"/>
  <c r="K34" i="18" s="1"/>
  <c r="J34" i="18" a="1"/>
  <c r="J34" i="18" s="1"/>
  <c r="I34" i="18" a="1"/>
  <c r="I34" i="18" s="1"/>
  <c r="H34" i="18" a="1"/>
  <c r="H34" i="18" s="1"/>
  <c r="G34" i="18" a="1"/>
  <c r="G34" i="18" s="1"/>
  <c r="F34" i="18" a="1"/>
  <c r="F34" i="18" s="1"/>
  <c r="E34" i="18" a="1"/>
  <c r="E34" i="18" s="1"/>
  <c r="W31" i="18" a="1"/>
  <c r="W31" i="18" s="1"/>
  <c r="V31" i="18" a="1"/>
  <c r="V31" i="18" s="1"/>
  <c r="U31" i="18" a="1"/>
  <c r="U31" i="18" s="1"/>
  <c r="T31" i="18" a="1"/>
  <c r="T31" i="18" s="1"/>
  <c r="S31" i="18" a="1"/>
  <c r="S31" i="18" s="1"/>
  <c r="R31" i="18" a="1"/>
  <c r="R31" i="18" s="1"/>
  <c r="R32" i="18" s="1"/>
  <c r="Q31" i="18" a="1"/>
  <c r="Q31" i="18" s="1"/>
  <c r="Q32" i="18" s="1"/>
  <c r="P31" i="18" a="1"/>
  <c r="P31" i="18" s="1"/>
  <c r="P32" i="18" s="1"/>
  <c r="O31" i="18" a="1"/>
  <c r="O31" i="18" s="1"/>
  <c r="O32" i="18" s="1"/>
  <c r="N31" i="18" a="1"/>
  <c r="N31" i="18" s="1"/>
  <c r="N32" i="18" s="1"/>
  <c r="M31" i="18" a="1"/>
  <c r="M31" i="18" s="1"/>
  <c r="M32" i="18" s="1"/>
  <c r="L31" i="18" a="1"/>
  <c r="L31" i="18" s="1"/>
  <c r="L32" i="18" s="1"/>
  <c r="K31" i="18" a="1"/>
  <c r="K31" i="18" s="1"/>
  <c r="J31" i="18" a="1"/>
  <c r="J31" i="18" s="1"/>
  <c r="I31" i="18" a="1"/>
  <c r="I31" i="18" s="1"/>
  <c r="H31" i="18" a="1"/>
  <c r="H31" i="18" s="1"/>
  <c r="G31" i="18" a="1"/>
  <c r="G31" i="18" s="1"/>
  <c r="F31" i="18" a="1"/>
  <c r="F31" i="18" s="1"/>
  <c r="F32" i="18" s="1"/>
  <c r="E31" i="18" a="1"/>
  <c r="E31" i="18" s="1"/>
  <c r="E32" i="18" s="1"/>
  <c r="W30" i="18" a="1"/>
  <c r="W30" i="18" s="1"/>
  <c r="V30" i="18" a="1"/>
  <c r="V30" i="18" s="1"/>
  <c r="U30" i="18" a="1"/>
  <c r="U30" i="18" s="1"/>
  <c r="T30" i="18" a="1"/>
  <c r="T30" i="18" s="1"/>
  <c r="S30" i="18" a="1"/>
  <c r="S30" i="18" s="1"/>
  <c r="R30" i="18" a="1"/>
  <c r="R30" i="18" s="1"/>
  <c r="Q30" i="18" a="1"/>
  <c r="Q30" i="18" s="1"/>
  <c r="P30" i="18" a="1"/>
  <c r="P30" i="18" s="1"/>
  <c r="O30" i="18" a="1"/>
  <c r="O30" i="18" s="1"/>
  <c r="N30" i="18" a="1"/>
  <c r="N30" i="18" s="1"/>
  <c r="M30" i="18" a="1"/>
  <c r="M30" i="18" s="1"/>
  <c r="L30" i="18" a="1"/>
  <c r="L30" i="18" s="1"/>
  <c r="K30" i="18" a="1"/>
  <c r="K30" i="18" s="1"/>
  <c r="J30" i="18" a="1"/>
  <c r="J30" i="18" s="1"/>
  <c r="I30" i="18" a="1"/>
  <c r="I30" i="18" s="1"/>
  <c r="H30" i="18" a="1"/>
  <c r="H30" i="18" s="1"/>
  <c r="G30" i="18" a="1"/>
  <c r="G30" i="18" s="1"/>
  <c r="F30" i="18" a="1"/>
  <c r="F30" i="18" s="1"/>
  <c r="E30" i="18" a="1"/>
  <c r="E30" i="18" s="1"/>
  <c r="W27" i="18" a="1"/>
  <c r="W27" i="18" s="1"/>
  <c r="V27" i="18" a="1"/>
  <c r="V27" i="18" s="1"/>
  <c r="U27" i="18" a="1"/>
  <c r="U27" i="18" s="1"/>
  <c r="T27" i="18" a="1"/>
  <c r="T27" i="18" s="1"/>
  <c r="S27" i="18" a="1"/>
  <c r="S27" i="18" s="1"/>
  <c r="R27" i="18" a="1"/>
  <c r="R27" i="18" s="1"/>
  <c r="R28" i="18" s="1"/>
  <c r="Q27" i="18" a="1"/>
  <c r="Q27" i="18" s="1"/>
  <c r="Q28" i="18" s="1"/>
  <c r="P27" i="18" a="1"/>
  <c r="P27" i="18" s="1"/>
  <c r="P28" i="18" s="1"/>
  <c r="O27" i="18" a="1"/>
  <c r="O27" i="18" s="1"/>
  <c r="O28" i="18" s="1"/>
  <c r="N27" i="18" a="1"/>
  <c r="N27" i="18" s="1"/>
  <c r="N28" i="18" s="1"/>
  <c r="M27" i="18" a="1"/>
  <c r="M27" i="18" s="1"/>
  <c r="M28" i="18" s="1"/>
  <c r="L27" i="18" a="1"/>
  <c r="L27" i="18" s="1"/>
  <c r="L28" i="18" s="1"/>
  <c r="K27" i="18" a="1"/>
  <c r="K27" i="18" s="1"/>
  <c r="J27" i="18" a="1"/>
  <c r="J27" i="18" s="1"/>
  <c r="I27" i="18" a="1"/>
  <c r="I27" i="18" s="1"/>
  <c r="H27" i="18" a="1"/>
  <c r="H27" i="18" s="1"/>
  <c r="G27" i="18" a="1"/>
  <c r="G27" i="18" s="1"/>
  <c r="F27" i="18" a="1"/>
  <c r="F27" i="18" s="1"/>
  <c r="F28" i="18" s="1"/>
  <c r="E27" i="18" a="1"/>
  <c r="E27" i="18" s="1"/>
  <c r="E28" i="18" s="1"/>
  <c r="W26" i="18" a="1"/>
  <c r="W26" i="18" s="1"/>
  <c r="V26" i="18" a="1"/>
  <c r="V26" i="18" s="1"/>
  <c r="U26" i="18" a="1"/>
  <c r="U26" i="18" s="1"/>
  <c r="T26" i="18" a="1"/>
  <c r="T26" i="18" s="1"/>
  <c r="S26" i="18" a="1"/>
  <c r="S26" i="18" s="1"/>
  <c r="R26" i="18" a="1"/>
  <c r="R26" i="18" s="1"/>
  <c r="Q26" i="18" a="1"/>
  <c r="Q26" i="18" s="1"/>
  <c r="P26" i="18" a="1"/>
  <c r="P26" i="18" s="1"/>
  <c r="O26" i="18" a="1"/>
  <c r="O26" i="18" s="1"/>
  <c r="N26" i="18" a="1"/>
  <c r="N26" i="18" s="1"/>
  <c r="M26" i="18" a="1"/>
  <c r="M26" i="18" s="1"/>
  <c r="L26" i="18" a="1"/>
  <c r="L26" i="18" s="1"/>
  <c r="K26" i="18" a="1"/>
  <c r="K26" i="18" s="1"/>
  <c r="J26" i="18" a="1"/>
  <c r="J26" i="18" s="1"/>
  <c r="I26" i="18" a="1"/>
  <c r="I26" i="18" s="1"/>
  <c r="H26" i="18" a="1"/>
  <c r="H26" i="18" s="1"/>
  <c r="G26" i="18" a="1"/>
  <c r="G26" i="18" s="1"/>
  <c r="F26" i="18" a="1"/>
  <c r="F26" i="18" s="1"/>
  <c r="E26" i="18" a="1"/>
  <c r="E26" i="18" s="1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E24" i="18"/>
  <c r="F23" i="18" a="1"/>
  <c r="F23" i="18" s="1"/>
  <c r="G23" i="18" a="1"/>
  <c r="G23" i="18" s="1"/>
  <c r="H23" i="18" a="1"/>
  <c r="H23" i="18" s="1"/>
  <c r="I23" i="18" a="1"/>
  <c r="I23" i="18" s="1"/>
  <c r="J23" i="18" a="1"/>
  <c r="J23" i="18" s="1"/>
  <c r="K23" i="18" a="1"/>
  <c r="K23" i="18" s="1"/>
  <c r="L23" i="18" a="1"/>
  <c r="L23" i="18" s="1"/>
  <c r="M23" i="18" a="1"/>
  <c r="M23" i="18" s="1"/>
  <c r="N23" i="18" a="1"/>
  <c r="N23" i="18" s="1"/>
  <c r="O23" i="18" a="1"/>
  <c r="O23" i="18" s="1"/>
  <c r="P23" i="18" a="1"/>
  <c r="P23" i="18" s="1"/>
  <c r="Q23" i="18" a="1"/>
  <c r="Q23" i="18" s="1"/>
  <c r="R23" i="18" a="1"/>
  <c r="R23" i="18" s="1"/>
  <c r="S23" i="18" a="1"/>
  <c r="S23" i="18" s="1"/>
  <c r="T23" i="18" a="1"/>
  <c r="T23" i="18" s="1"/>
  <c r="U23" i="18" a="1"/>
  <c r="U23" i="18" s="1"/>
  <c r="V23" i="18" a="1"/>
  <c r="V23" i="18" s="1"/>
  <c r="W23" i="18" a="1"/>
  <c r="W23" i="18" s="1"/>
  <c r="E23" i="18" a="1"/>
  <c r="E23" i="18" s="1"/>
  <c r="F22" i="18" a="1"/>
  <c r="F22" i="18" s="1"/>
  <c r="G22" i="18" a="1"/>
  <c r="G22" i="18" s="1"/>
  <c r="H22" i="18" a="1"/>
  <c r="H22" i="18" s="1"/>
  <c r="I22" i="18" a="1"/>
  <c r="I22" i="18" s="1"/>
  <c r="J22" i="18" a="1"/>
  <c r="J22" i="18" s="1"/>
  <c r="K22" i="18" a="1"/>
  <c r="K22" i="18" s="1"/>
  <c r="L22" i="18" a="1"/>
  <c r="L22" i="18" s="1"/>
  <c r="M22" i="18" a="1"/>
  <c r="M22" i="18" s="1"/>
  <c r="N22" i="18" a="1"/>
  <c r="N22" i="18" s="1"/>
  <c r="O22" i="18" a="1"/>
  <c r="O22" i="18" s="1"/>
  <c r="P22" i="18" a="1"/>
  <c r="P22" i="18" s="1"/>
  <c r="Q22" i="18" a="1"/>
  <c r="Q22" i="18" s="1"/>
  <c r="R22" i="18" a="1"/>
  <c r="R22" i="18" s="1"/>
  <c r="S22" i="18" a="1"/>
  <c r="S22" i="18" s="1"/>
  <c r="T22" i="18" a="1"/>
  <c r="T22" i="18" s="1"/>
  <c r="U22" i="18" a="1"/>
  <c r="U22" i="18" s="1"/>
  <c r="V22" i="18" a="1"/>
  <c r="V22" i="18" s="1"/>
  <c r="W22" i="18" a="1"/>
  <c r="W22" i="18" s="1"/>
  <c r="E22" i="18" a="1"/>
  <c r="E22" i="18" s="1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F17" i="18"/>
  <c r="F18" i="18" s="1"/>
  <c r="G17" i="18"/>
  <c r="G18" i="18" s="1"/>
  <c r="H17" i="18"/>
  <c r="H18" i="18" s="1"/>
  <c r="K17" i="18"/>
  <c r="L17" i="18"/>
  <c r="M17" i="18"/>
  <c r="N17" i="18"/>
  <c r="O17" i="18"/>
  <c r="P17" i="18"/>
  <c r="Q17" i="18"/>
  <c r="Q18" i="18" s="1"/>
  <c r="R17" i="18"/>
  <c r="S17" i="18"/>
  <c r="S18" i="18" s="1"/>
  <c r="T17" i="18"/>
  <c r="T18" i="18" s="1"/>
  <c r="U17" i="18"/>
  <c r="W17" i="18"/>
  <c r="K18" i="18"/>
  <c r="L18" i="18"/>
  <c r="M18" i="18"/>
  <c r="N18" i="18"/>
  <c r="O18" i="18"/>
  <c r="P18" i="18"/>
  <c r="R18" i="18"/>
  <c r="U18" i="18"/>
  <c r="W18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E19" i="18"/>
  <c r="E10" i="18"/>
  <c r="C40" i="18"/>
  <c r="C39" i="18"/>
  <c r="C38" i="18"/>
  <c r="C36" i="18"/>
  <c r="C35" i="18"/>
  <c r="C34" i="18"/>
  <c r="C32" i="18"/>
  <c r="C31" i="18"/>
  <c r="C30" i="18"/>
  <c r="C28" i="18"/>
  <c r="C27" i="18"/>
  <c r="C26" i="18"/>
  <c r="C24" i="18"/>
  <c r="C23" i="18"/>
  <c r="C22" i="18"/>
  <c r="W7" i="18"/>
  <c r="W6" i="18" s="1"/>
  <c r="V7" i="18" s="1"/>
  <c r="V6" i="18" s="1"/>
  <c r="U7" i="18" s="1"/>
  <c r="U6" i="18" s="1"/>
  <c r="T7" i="18" s="1"/>
  <c r="T6" i="18" s="1"/>
  <c r="S7" i="18" s="1"/>
  <c r="S6" i="18" s="1"/>
  <c r="R7" i="18" s="1"/>
  <c r="R6" i="18" s="1"/>
  <c r="Q7" i="18" s="1"/>
  <c r="Q6" i="18" s="1"/>
  <c r="P7" i="18" s="1"/>
  <c r="P6" i="18" s="1"/>
  <c r="O7" i="18" s="1"/>
  <c r="O6" i="18" s="1"/>
  <c r="N7" i="18" s="1"/>
  <c r="N6" i="18" s="1"/>
  <c r="M7" i="18" s="1"/>
  <c r="M6" i="18" s="1"/>
  <c r="L7" i="18" s="1"/>
  <c r="L6" i="18" s="1"/>
  <c r="K7" i="18" s="1"/>
  <c r="K6" i="18" s="1"/>
  <c r="J7" i="18" s="1"/>
  <c r="J6" i="18" s="1"/>
  <c r="I7" i="18" s="1"/>
  <c r="I6" i="18" s="1"/>
  <c r="H7" i="18" s="1"/>
  <c r="H6" i="18" s="1"/>
  <c r="G7" i="18" s="1"/>
  <c r="G6" i="18" s="1"/>
  <c r="F7" i="18" s="1"/>
  <c r="F6" i="18" s="1"/>
  <c r="E7" i="18" s="1"/>
  <c r="F5" i="18"/>
  <c r="G5" i="18" s="1"/>
  <c r="H5" i="18" s="1"/>
  <c r="I5" i="18" s="1"/>
  <c r="J5" i="18" s="1"/>
  <c r="K5" i="18" s="1"/>
  <c r="L5" i="18" s="1"/>
  <c r="M5" i="18" s="1"/>
  <c r="N5" i="18" s="1"/>
  <c r="O5" i="18" s="1"/>
  <c r="P5" i="18" s="1"/>
  <c r="Q5" i="18" s="1"/>
  <c r="R5" i="18" s="1"/>
  <c r="S5" i="18" s="1"/>
  <c r="T5" i="18" s="1"/>
  <c r="U5" i="18" s="1"/>
  <c r="V5" i="18" s="1"/>
  <c r="W5" i="18" s="1"/>
  <c r="X14" i="15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B30" i="17"/>
  <c r="J29" i="17"/>
  <c r="J28" i="17"/>
  <c r="J27" i="17"/>
  <c r="J26" i="17"/>
  <c r="J25" i="17"/>
  <c r="J24" i="17"/>
  <c r="J23" i="17"/>
  <c r="J22" i="17"/>
  <c r="B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382" i="1"/>
  <c r="B382" i="1"/>
  <c r="C382" i="1" s="1" a="1"/>
  <c r="C382" i="1" s="1"/>
  <c r="D382" i="1" s="1"/>
  <c r="A383" i="1"/>
  <c r="B383" i="1"/>
  <c r="C383" i="1" s="1" a="1"/>
  <c r="C383" i="1" s="1"/>
  <c r="D383" i="1" s="1"/>
  <c r="A384" i="1"/>
  <c r="B384" i="1"/>
  <c r="C384" i="1" s="1" a="1"/>
  <c r="C384" i="1" s="1"/>
  <c r="D384" i="1" s="1"/>
  <c r="A385" i="1"/>
  <c r="B385" i="1"/>
  <c r="C385" i="1" s="1" a="1"/>
  <c r="C385" i="1" s="1"/>
  <c r="D385" i="1" s="1"/>
  <c r="A386" i="1"/>
  <c r="B386" i="1"/>
  <c r="C386" i="1" a="1"/>
  <c r="C386" i="1" s="1"/>
  <c r="D386" i="1" s="1"/>
  <c r="A387" i="1"/>
  <c r="B387" i="1"/>
  <c r="C387" i="1" s="1" a="1"/>
  <c r="C387" i="1" s="1"/>
  <c r="D387" i="1" s="1"/>
  <c r="A388" i="1"/>
  <c r="B388" i="1"/>
  <c r="C388" i="1" s="1" a="1"/>
  <c r="C388" i="1" s="1"/>
  <c r="D388" i="1" s="1"/>
  <c r="A389" i="1"/>
  <c r="B389" i="1"/>
  <c r="C389" i="1" a="1"/>
  <c r="C389" i="1" s="1"/>
  <c r="D389" i="1" s="1"/>
  <c r="A390" i="1"/>
  <c r="B390" i="1"/>
  <c r="C390" i="1" s="1" a="1"/>
  <c r="C390" i="1" s="1"/>
  <c r="D390" i="1" s="1"/>
  <c r="A391" i="1"/>
  <c r="B391" i="1"/>
  <c r="C391" i="1" s="1" a="1"/>
  <c r="C391" i="1" s="1"/>
  <c r="D391" i="1" s="1"/>
  <c r="A392" i="1"/>
  <c r="B392" i="1"/>
  <c r="C392" i="1" s="1" a="1"/>
  <c r="C392" i="1" s="1"/>
  <c r="D392" i="1" s="1"/>
  <c r="A393" i="1"/>
  <c r="B393" i="1"/>
  <c r="C393" i="1" s="1" a="1"/>
  <c r="C393" i="1" s="1"/>
  <c r="D393" i="1" s="1"/>
  <c r="A394" i="1"/>
  <c r="B394" i="1"/>
  <c r="C394" i="1" s="1" a="1"/>
  <c r="C394" i="1" s="1"/>
  <c r="D394" i="1" s="1"/>
  <c r="A395" i="1"/>
  <c r="B395" i="1"/>
  <c r="C395" i="1" s="1" a="1"/>
  <c r="C395" i="1" s="1"/>
  <c r="D395" i="1" s="1"/>
  <c r="A396" i="1"/>
  <c r="B396" i="1"/>
  <c r="C396" i="1" s="1" a="1"/>
  <c r="C396" i="1" s="1"/>
  <c r="D396" i="1" s="1"/>
  <c r="A397" i="1"/>
  <c r="B397" i="1"/>
  <c r="C397" i="1" s="1" a="1"/>
  <c r="C397" i="1" s="1"/>
  <c r="D397" i="1" s="1"/>
  <c r="A398" i="1"/>
  <c r="B398" i="1"/>
  <c r="C398" i="1" s="1" a="1"/>
  <c r="C398" i="1" s="1"/>
  <c r="D398" i="1" s="1"/>
  <c r="A399" i="1"/>
  <c r="B399" i="1"/>
  <c r="C399" i="1" s="1" a="1"/>
  <c r="C399" i="1" s="1"/>
  <c r="D399" i="1" s="1"/>
  <c r="A400" i="1"/>
  <c r="B400" i="1"/>
  <c r="C400" i="1" s="1" a="1"/>
  <c r="C400" i="1" s="1"/>
  <c r="D400" i="1" s="1"/>
  <c r="A401" i="1"/>
  <c r="B401" i="1"/>
  <c r="C401" i="1" s="1" a="1"/>
  <c r="C401" i="1" s="1"/>
  <c r="D401" i="1" s="1"/>
  <c r="A402" i="1"/>
  <c r="B402" i="1"/>
  <c r="C402" i="1" s="1" a="1"/>
  <c r="C402" i="1" s="1"/>
  <c r="D402" i="1" s="1"/>
  <c r="A403" i="1"/>
  <c r="B403" i="1"/>
  <c r="C403" i="1" s="1" a="1"/>
  <c r="C403" i="1" s="1"/>
  <c r="D403" i="1" s="1"/>
  <c r="A404" i="1"/>
  <c r="B404" i="1"/>
  <c r="C404" i="1" s="1" a="1"/>
  <c r="C404" i="1" s="1"/>
  <c r="D404" i="1" s="1"/>
  <c r="A405" i="1"/>
  <c r="B405" i="1"/>
  <c r="C405" i="1" s="1" a="1"/>
  <c r="C405" i="1" s="1"/>
  <c r="D405" i="1" s="1"/>
  <c r="A406" i="1"/>
  <c r="B406" i="1"/>
  <c r="C406" i="1" s="1" a="1"/>
  <c r="C406" i="1" s="1"/>
  <c r="D406" i="1" s="1"/>
  <c r="A407" i="1"/>
  <c r="B407" i="1"/>
  <c r="C407" i="1" s="1" a="1"/>
  <c r="C407" i="1" s="1"/>
  <c r="D407" i="1" s="1"/>
  <c r="A408" i="1"/>
  <c r="B408" i="1"/>
  <c r="C408" i="1" s="1" a="1"/>
  <c r="C408" i="1" s="1"/>
  <c r="D408" i="1" s="1"/>
  <c r="A409" i="1"/>
  <c r="B409" i="1"/>
  <c r="C409" i="1" s="1" a="1"/>
  <c r="C409" i="1" s="1"/>
  <c r="D409" i="1" s="1"/>
  <c r="A410" i="1"/>
  <c r="B410" i="1"/>
  <c r="C410" i="1" s="1" a="1"/>
  <c r="C410" i="1" s="1"/>
  <c r="D410" i="1" s="1"/>
  <c r="A411" i="1"/>
  <c r="B411" i="1"/>
  <c r="C411" i="1" s="1" a="1"/>
  <c r="C411" i="1" s="1"/>
  <c r="D411" i="1" s="1"/>
  <c r="A412" i="1"/>
  <c r="B412" i="1"/>
  <c r="C412" i="1" s="1" a="1"/>
  <c r="C412" i="1" s="1"/>
  <c r="D412" i="1" s="1"/>
  <c r="A413" i="1"/>
  <c r="B413" i="1"/>
  <c r="C413" i="1" s="1" a="1"/>
  <c r="C413" i="1" s="1"/>
  <c r="D413" i="1" s="1"/>
  <c r="A414" i="1"/>
  <c r="B414" i="1"/>
  <c r="C414" i="1" s="1" a="1"/>
  <c r="C414" i="1" s="1"/>
  <c r="D414" i="1" s="1"/>
  <c r="A415" i="1"/>
  <c r="B415" i="1"/>
  <c r="C415" i="1" s="1" a="1"/>
  <c r="C415" i="1" s="1"/>
  <c r="D415" i="1" s="1"/>
  <c r="A416" i="1"/>
  <c r="B416" i="1"/>
  <c r="C416" i="1" s="1" a="1"/>
  <c r="C416" i="1" s="1"/>
  <c r="D416" i="1" s="1"/>
  <c r="A417" i="1"/>
  <c r="B417" i="1"/>
  <c r="C417" i="1" s="1" a="1"/>
  <c r="C417" i="1" s="1"/>
  <c r="D417" i="1" s="1"/>
  <c r="A418" i="1"/>
  <c r="B418" i="1"/>
  <c r="C418" i="1" s="1" a="1"/>
  <c r="C418" i="1" s="1"/>
  <c r="D418" i="1" s="1"/>
  <c r="A419" i="1"/>
  <c r="B419" i="1"/>
  <c r="C419" i="1" s="1" a="1"/>
  <c r="C419" i="1" s="1"/>
  <c r="D419" i="1" s="1"/>
  <c r="A420" i="1"/>
  <c r="B420" i="1"/>
  <c r="C420" i="1" s="1" a="1"/>
  <c r="C420" i="1" s="1"/>
  <c r="D420" i="1" s="1"/>
  <c r="A421" i="1"/>
  <c r="B421" i="1"/>
  <c r="C421" i="1" s="1" a="1"/>
  <c r="C421" i="1" s="1"/>
  <c r="D421" i="1" s="1"/>
  <c r="A422" i="1"/>
  <c r="B422" i="1"/>
  <c r="C422" i="1" s="1" a="1"/>
  <c r="C422" i="1" s="1"/>
  <c r="D422" i="1" s="1"/>
  <c r="A423" i="1"/>
  <c r="B423" i="1"/>
  <c r="C423" i="1" s="1" a="1"/>
  <c r="C423" i="1" s="1"/>
  <c r="D423" i="1" s="1"/>
  <c r="A424" i="1"/>
  <c r="B424" i="1"/>
  <c r="C424" i="1" s="1" a="1"/>
  <c r="C424" i="1" s="1"/>
  <c r="D424" i="1" s="1"/>
  <c r="A425" i="1"/>
  <c r="B425" i="1"/>
  <c r="C425" i="1" a="1"/>
  <c r="C425" i="1" s="1"/>
  <c r="D425" i="1" s="1"/>
  <c r="A426" i="1"/>
  <c r="B426" i="1"/>
  <c r="C426" i="1" s="1" a="1"/>
  <c r="C426" i="1" s="1"/>
  <c r="D426" i="1" s="1"/>
  <c r="A427" i="1"/>
  <c r="B427" i="1"/>
  <c r="C427" i="1" s="1" a="1"/>
  <c r="C427" i="1" s="1"/>
  <c r="D427" i="1" s="1"/>
  <c r="A428" i="1"/>
  <c r="B428" i="1"/>
  <c r="C428" i="1" s="1" a="1"/>
  <c r="C428" i="1" s="1"/>
  <c r="D428" i="1" s="1"/>
  <c r="A429" i="1"/>
  <c r="B429" i="1"/>
  <c r="C429" i="1" s="1" a="1"/>
  <c r="C429" i="1" s="1"/>
  <c r="D429" i="1" s="1"/>
  <c r="A430" i="1"/>
  <c r="B430" i="1"/>
  <c r="C430" i="1" s="1" a="1"/>
  <c r="C430" i="1" s="1"/>
  <c r="D430" i="1" s="1"/>
  <c r="A431" i="1"/>
  <c r="B431" i="1"/>
  <c r="C431" i="1" s="1" a="1"/>
  <c r="C431" i="1" s="1"/>
  <c r="D431" i="1" s="1"/>
  <c r="A432" i="1"/>
  <c r="B432" i="1"/>
  <c r="C432" i="1" s="1" a="1"/>
  <c r="C432" i="1" s="1"/>
  <c r="D432" i="1" s="1"/>
  <c r="W14" i="15"/>
  <c r="V14" i="15"/>
  <c r="U14" i="15"/>
  <c r="T14" i="15"/>
  <c r="S14" i="15"/>
  <c r="R14" i="15"/>
  <c r="Q14" i="15"/>
  <c r="P14" i="15"/>
  <c r="O14" i="15"/>
  <c r="N14" i="15"/>
  <c r="M14" i="15"/>
  <c r="L14" i="15"/>
  <c r="E7" i="15"/>
  <c r="F6" i="15" s="1"/>
  <c r="F7" i="15" s="1"/>
  <c r="F5" i="15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V80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E5" i="13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E17" i="18" l="1"/>
  <c r="E18" i="18" s="1"/>
  <c r="O40" i="18"/>
  <c r="Q40" i="18"/>
  <c r="J40" i="18"/>
  <c r="K40" i="18"/>
  <c r="U40" i="18"/>
  <c r="L40" i="18"/>
  <c r="V40" i="18"/>
  <c r="M40" i="18"/>
  <c r="W40" i="18"/>
  <c r="G36" i="18"/>
  <c r="S36" i="18"/>
  <c r="H36" i="18"/>
  <c r="T36" i="18"/>
  <c r="I36" i="18"/>
  <c r="U36" i="18"/>
  <c r="J36" i="18"/>
  <c r="V36" i="18"/>
  <c r="K36" i="18"/>
  <c r="W36" i="18"/>
  <c r="G32" i="18"/>
  <c r="S32" i="18"/>
  <c r="H32" i="18"/>
  <c r="T32" i="18"/>
  <c r="U32" i="18"/>
  <c r="I32" i="18"/>
  <c r="J32" i="18"/>
  <c r="V32" i="18"/>
  <c r="K32" i="18"/>
  <c r="W32" i="18"/>
  <c r="G28" i="18"/>
  <c r="S28" i="18"/>
  <c r="T28" i="18"/>
  <c r="I28" i="18"/>
  <c r="U28" i="18"/>
  <c r="H28" i="18"/>
  <c r="J28" i="18"/>
  <c r="V28" i="18"/>
  <c r="K28" i="18"/>
  <c r="W28" i="18"/>
  <c r="E6" i="18"/>
  <c r="G6" i="15"/>
  <c r="G7" i="15" s="1"/>
  <c r="B7" i="8" l="1"/>
  <c r="H6" i="15"/>
  <c r="H7" i="15" s="1"/>
  <c r="I6" i="15" l="1"/>
  <c r="I7" i="15" s="1"/>
  <c r="J6" i="15" l="1"/>
  <c r="J7" i="15" s="1"/>
  <c r="K6" i="15" l="1"/>
  <c r="K7" i="15" s="1"/>
  <c r="K48" i="15" l="1"/>
  <c r="K28" i="15"/>
  <c r="K40" i="15"/>
  <c r="K55" i="15"/>
  <c r="K49" i="15"/>
  <c r="K29" i="15"/>
  <c r="K41" i="15"/>
  <c r="K50" i="15"/>
  <c r="K30" i="15"/>
  <c r="K42" i="15"/>
  <c r="K51" i="15"/>
  <c r="K31" i="15"/>
  <c r="K43" i="15"/>
  <c r="K52" i="15"/>
  <c r="K32" i="15"/>
  <c r="K18" i="15"/>
  <c r="K53" i="15"/>
  <c r="K33" i="15"/>
  <c r="K19" i="15"/>
  <c r="K34" i="15"/>
  <c r="K24" i="15"/>
  <c r="K25" i="15"/>
  <c r="K37" i="15"/>
  <c r="K35" i="15"/>
  <c r="K26" i="15"/>
  <c r="K38" i="15"/>
  <c r="K27" i="15"/>
  <c r="K39" i="15"/>
  <c r="K54" i="15"/>
  <c r="K36" i="15"/>
  <c r="L6" i="15"/>
  <c r="L7" i="15" s="1"/>
  <c r="L25" i="15" l="1"/>
  <c r="L24" i="15"/>
  <c r="L18" i="15"/>
  <c r="L21" i="15" s="1"/>
  <c r="K21" i="15"/>
  <c r="M6" i="15"/>
  <c r="M7" i="15" s="1"/>
  <c r="M24" i="15" l="1"/>
  <c r="M18" i="15"/>
  <c r="M25" i="15"/>
  <c r="N6" i="15"/>
  <c r="N7" i="15" s="1"/>
  <c r="M21" i="15"/>
  <c r="N18" i="15" l="1"/>
  <c r="N25" i="15"/>
  <c r="N24" i="15"/>
  <c r="O6" i="15"/>
  <c r="O7" i="15" s="1"/>
  <c r="N21" i="15"/>
  <c r="O24" i="15" l="1"/>
  <c r="O25" i="15"/>
  <c r="O18" i="15"/>
  <c r="P6" i="15"/>
  <c r="P7" i="15" s="1"/>
  <c r="O21" i="15"/>
  <c r="P18" i="15" l="1"/>
  <c r="P25" i="15"/>
  <c r="P24" i="15"/>
  <c r="P21" i="15"/>
  <c r="Q6" i="15"/>
  <c r="Q7" i="15" s="1"/>
  <c r="Q25" i="15" l="1"/>
  <c r="Q24" i="15"/>
  <c r="Q18" i="15"/>
  <c r="Q21" i="15"/>
  <c r="R6" i="15"/>
  <c r="R7" i="15" s="1"/>
  <c r="R25" i="15" l="1"/>
  <c r="R24" i="15"/>
  <c r="R18" i="15"/>
  <c r="R21" i="15"/>
  <c r="S6" i="15"/>
  <c r="S7" i="15" s="1"/>
  <c r="S25" i="15" l="1"/>
  <c r="S24" i="15"/>
  <c r="S18" i="15"/>
  <c r="S21" i="15"/>
  <c r="T6" i="15"/>
  <c r="T7" i="15" s="1"/>
  <c r="T25" i="15" l="1"/>
  <c r="T24" i="15"/>
  <c r="T18" i="15"/>
  <c r="T21" i="15"/>
  <c r="U6" i="15"/>
  <c r="U7" i="15" s="1"/>
  <c r="U25" i="15" l="1"/>
  <c r="U24" i="15"/>
  <c r="U18" i="15"/>
  <c r="V6" i="15"/>
  <c r="V7" i="15" s="1"/>
  <c r="U21" i="15"/>
  <c r="V25" i="15" l="1"/>
  <c r="V24" i="15"/>
  <c r="V18" i="15"/>
  <c r="W6" i="15"/>
  <c r="W7" i="15" s="1"/>
  <c r="V21" i="15"/>
  <c r="W25" i="15" l="1"/>
  <c r="W24" i="15"/>
  <c r="W18" i="15"/>
  <c r="X6" i="15"/>
  <c r="X7" i="15" s="1"/>
  <c r="W21" i="15"/>
  <c r="X25" i="15" l="1"/>
  <c r="X24" i="15"/>
  <c r="X18" i="15"/>
  <c r="X21" i="15" s="1"/>
  <c r="V7" i="13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J46" i="12"/>
  <c r="J45" i="12"/>
  <c r="J44" i="12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8" i="12"/>
  <c r="J7" i="12"/>
  <c r="J6" i="12"/>
  <c r="J5" i="12"/>
  <c r="J4" i="12"/>
  <c r="J3" i="12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3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C46" i="1" a="1"/>
  <c r="C46" i="1" s="1"/>
  <c r="D46" i="1" s="1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B11" i="1"/>
  <c r="C11" i="1" s="1" a="1"/>
  <c r="C11" i="1" s="1"/>
  <c r="D11" i="1" s="1"/>
  <c r="B12" i="1"/>
  <c r="C12" i="1" s="1" a="1"/>
  <c r="C12" i="1" s="1"/>
  <c r="D12" i="1" s="1"/>
  <c r="B13" i="1"/>
  <c r="C13" i="1" s="1" a="1"/>
  <c r="C13" i="1" s="1"/>
  <c r="D13" i="1" s="1"/>
  <c r="B14" i="1"/>
  <c r="C14" i="1" s="1" a="1"/>
  <c r="C14" i="1" s="1"/>
  <c r="D14" i="1" s="1"/>
  <c r="B15" i="1"/>
  <c r="C15" i="1" s="1" a="1"/>
  <c r="C15" i="1" s="1"/>
  <c r="D15" i="1" s="1"/>
  <c r="B16" i="1"/>
  <c r="C16" i="1" s="1" a="1"/>
  <c r="C16" i="1" s="1"/>
  <c r="D16" i="1" s="1"/>
  <c r="B17" i="1"/>
  <c r="C17" i="1" s="1" a="1"/>
  <c r="C17" i="1" s="1"/>
  <c r="D17" i="1" s="1"/>
  <c r="B18" i="1"/>
  <c r="C18" i="1" s="1" a="1"/>
  <c r="C18" i="1" s="1"/>
  <c r="D18" i="1" s="1"/>
  <c r="B19" i="1"/>
  <c r="C19" i="1" s="1" a="1"/>
  <c r="C19" i="1" s="1"/>
  <c r="D19" i="1" s="1"/>
  <c r="B20" i="1"/>
  <c r="C20" i="1" s="1" a="1"/>
  <c r="C20" i="1" s="1"/>
  <c r="D20" i="1" s="1"/>
  <c r="B21" i="1"/>
  <c r="C21" i="1" s="1" a="1"/>
  <c r="C21" i="1" s="1"/>
  <c r="D21" i="1" s="1"/>
  <c r="B22" i="1"/>
  <c r="C22" i="1" s="1" a="1"/>
  <c r="C22" i="1" s="1"/>
  <c r="D22" i="1" s="1"/>
  <c r="B23" i="1"/>
  <c r="C23" i="1" s="1" a="1"/>
  <c r="C23" i="1" s="1"/>
  <c r="D23" i="1" s="1"/>
  <c r="B24" i="1"/>
  <c r="C24" i="1" s="1" a="1"/>
  <c r="C24" i="1" s="1"/>
  <c r="D24" i="1" s="1"/>
  <c r="B25" i="1"/>
  <c r="C25" i="1" s="1" a="1"/>
  <c r="C25" i="1" s="1"/>
  <c r="D25" i="1" s="1"/>
  <c r="B26" i="1"/>
  <c r="C26" i="1" s="1" a="1"/>
  <c r="C26" i="1" s="1"/>
  <c r="D26" i="1" s="1"/>
  <c r="B27" i="1"/>
  <c r="C27" i="1" s="1" a="1"/>
  <c r="C27" i="1" s="1"/>
  <c r="D27" i="1" s="1"/>
  <c r="B28" i="1"/>
  <c r="C28" i="1" s="1" a="1"/>
  <c r="C28" i="1" s="1"/>
  <c r="D28" i="1" s="1"/>
  <c r="B29" i="1"/>
  <c r="C29" i="1" s="1" a="1"/>
  <c r="C29" i="1" s="1"/>
  <c r="D29" i="1" s="1"/>
  <c r="B30" i="1"/>
  <c r="C30" i="1" s="1" a="1"/>
  <c r="C30" i="1" s="1"/>
  <c r="D30" i="1" s="1"/>
  <c r="B31" i="1"/>
  <c r="C31" i="1" s="1" a="1"/>
  <c r="C31" i="1" s="1"/>
  <c r="D31" i="1" s="1"/>
  <c r="B32" i="1"/>
  <c r="C32" i="1" s="1" a="1"/>
  <c r="C32" i="1" s="1"/>
  <c r="D32" i="1" s="1"/>
  <c r="B33" i="1"/>
  <c r="C33" i="1" s="1" a="1"/>
  <c r="C33" i="1" s="1"/>
  <c r="D33" i="1" s="1"/>
  <c r="B34" i="1"/>
  <c r="C34" i="1" s="1" a="1"/>
  <c r="C34" i="1" s="1"/>
  <c r="D34" i="1" s="1"/>
  <c r="B35" i="1"/>
  <c r="C35" i="1" s="1" a="1"/>
  <c r="C35" i="1" s="1"/>
  <c r="D35" i="1" s="1"/>
  <c r="B36" i="1"/>
  <c r="C36" i="1" s="1" a="1"/>
  <c r="C36" i="1" s="1"/>
  <c r="D36" i="1" s="1"/>
  <c r="B37" i="1"/>
  <c r="C37" i="1" s="1" a="1"/>
  <c r="C37" i="1" s="1"/>
  <c r="D37" i="1" s="1"/>
  <c r="B38" i="1"/>
  <c r="C38" i="1" s="1" a="1"/>
  <c r="C38" i="1" s="1"/>
  <c r="D38" i="1" s="1"/>
  <c r="B39" i="1"/>
  <c r="C39" i="1" s="1" a="1"/>
  <c r="C39" i="1" s="1"/>
  <c r="D39" i="1" s="1"/>
  <c r="B40" i="1"/>
  <c r="C40" i="1" s="1" a="1"/>
  <c r="C40" i="1" s="1"/>
  <c r="D40" i="1" s="1"/>
  <c r="B41" i="1"/>
  <c r="C41" i="1" s="1" a="1"/>
  <c r="C41" i="1" s="1"/>
  <c r="D41" i="1" s="1"/>
  <c r="B42" i="1"/>
  <c r="C42" i="1" s="1" a="1"/>
  <c r="C42" i="1" s="1"/>
  <c r="D42" i="1" s="1"/>
  <c r="B43" i="1"/>
  <c r="C43" i="1" s="1" a="1"/>
  <c r="C43" i="1" s="1"/>
  <c r="D43" i="1" s="1"/>
  <c r="B44" i="1"/>
  <c r="C44" i="1" s="1" a="1"/>
  <c r="C44" i="1" s="1"/>
  <c r="D44" i="1" s="1"/>
  <c r="B45" i="1"/>
  <c r="C45" i="1" s="1" a="1"/>
  <c r="C45" i="1" s="1"/>
  <c r="D45" i="1" s="1"/>
  <c r="B46" i="1"/>
  <c r="B47" i="1"/>
  <c r="C47" i="1" s="1" a="1"/>
  <c r="C47" i="1" s="1"/>
  <c r="D47" i="1" s="1"/>
  <c r="B48" i="1"/>
  <c r="C48" i="1" s="1" a="1"/>
  <c r="C48" i="1" s="1"/>
  <c r="D48" i="1" s="1"/>
  <c r="B49" i="1"/>
  <c r="C49" i="1" s="1" a="1"/>
  <c r="C49" i="1" s="1"/>
  <c r="D49" i="1" s="1"/>
  <c r="B50" i="1"/>
  <c r="C50" i="1" s="1" a="1"/>
  <c r="C50" i="1" s="1"/>
  <c r="D50" i="1" s="1"/>
  <c r="B51" i="1"/>
  <c r="C51" i="1" s="1" a="1"/>
  <c r="C51" i="1" s="1"/>
  <c r="D51" i="1" s="1"/>
  <c r="B52" i="1"/>
  <c r="C52" i="1" s="1" a="1"/>
  <c r="C52" i="1" s="1"/>
  <c r="D52" i="1" s="1"/>
  <c r="B53" i="1"/>
  <c r="C53" i="1" s="1" a="1"/>
  <c r="C53" i="1" s="1"/>
  <c r="D53" i="1" s="1"/>
  <c r="B54" i="1"/>
  <c r="C54" i="1" s="1" a="1"/>
  <c r="C54" i="1" s="1"/>
  <c r="D54" i="1" s="1"/>
  <c r="B55" i="1"/>
  <c r="C55" i="1" s="1" a="1"/>
  <c r="C55" i="1" s="1"/>
  <c r="D55" i="1" s="1"/>
  <c r="B56" i="1"/>
  <c r="C56" i="1" s="1" a="1"/>
  <c r="C56" i="1" s="1"/>
  <c r="D56" i="1" s="1"/>
  <c r="B57" i="1"/>
  <c r="C57" i="1" s="1" a="1"/>
  <c r="C57" i="1" s="1"/>
  <c r="D57" i="1" s="1"/>
  <c r="B58" i="1"/>
  <c r="C58" i="1" s="1" a="1"/>
  <c r="C58" i="1" s="1"/>
  <c r="D58" i="1" s="1"/>
  <c r="B59" i="1"/>
  <c r="C59" i="1" s="1" a="1"/>
  <c r="C59" i="1" s="1"/>
  <c r="D59" i="1" s="1"/>
  <c r="B60" i="1"/>
  <c r="C60" i="1" s="1" a="1"/>
  <c r="C60" i="1" s="1"/>
  <c r="D60" i="1" s="1"/>
  <c r="B61" i="1"/>
  <c r="C61" i="1" s="1" a="1"/>
  <c r="C61" i="1" s="1"/>
  <c r="D61" i="1" s="1"/>
  <c r="B62" i="1"/>
  <c r="C62" i="1" s="1" a="1"/>
  <c r="C62" i="1" s="1"/>
  <c r="D62" i="1" s="1"/>
  <c r="B63" i="1"/>
  <c r="C63" i="1" s="1" a="1"/>
  <c r="C63" i="1" s="1"/>
  <c r="D63" i="1" s="1"/>
  <c r="B64" i="1"/>
  <c r="C64" i="1" s="1" a="1"/>
  <c r="C64" i="1" s="1"/>
  <c r="D64" i="1" s="1"/>
  <c r="B65" i="1"/>
  <c r="C65" i="1" s="1" a="1"/>
  <c r="C65" i="1" s="1"/>
  <c r="D65" i="1" s="1"/>
  <c r="B66" i="1"/>
  <c r="C66" i="1" s="1" a="1"/>
  <c r="C66" i="1" s="1"/>
  <c r="D66" i="1" s="1"/>
  <c r="B67" i="1"/>
  <c r="C67" i="1" s="1" a="1"/>
  <c r="C67" i="1" s="1"/>
  <c r="D67" i="1" s="1"/>
  <c r="B68" i="1"/>
  <c r="C68" i="1" s="1" a="1"/>
  <c r="C68" i="1" s="1"/>
  <c r="D68" i="1" s="1"/>
  <c r="B69" i="1"/>
  <c r="C69" i="1" s="1" a="1"/>
  <c r="C69" i="1" s="1"/>
  <c r="D69" i="1" s="1"/>
  <c r="B70" i="1"/>
  <c r="C70" i="1" s="1" a="1"/>
  <c r="C70" i="1" s="1"/>
  <c r="D70" i="1" s="1"/>
  <c r="B71" i="1"/>
  <c r="C71" i="1" s="1" a="1"/>
  <c r="C71" i="1" s="1"/>
  <c r="D71" i="1" s="1"/>
  <c r="B72" i="1"/>
  <c r="C72" i="1" s="1" a="1"/>
  <c r="C72" i="1" s="1"/>
  <c r="D72" i="1" s="1"/>
  <c r="B73" i="1"/>
  <c r="C73" i="1" s="1" a="1"/>
  <c r="C73" i="1" s="1"/>
  <c r="D73" i="1" s="1"/>
  <c r="B74" i="1"/>
  <c r="C74" i="1" s="1" a="1"/>
  <c r="C74" i="1" s="1"/>
  <c r="D74" i="1" s="1"/>
  <c r="B75" i="1"/>
  <c r="C75" i="1" s="1" a="1"/>
  <c r="C75" i="1" s="1"/>
  <c r="D75" i="1" s="1"/>
  <c r="B76" i="1"/>
  <c r="C76" i="1" s="1" a="1"/>
  <c r="C76" i="1" s="1"/>
  <c r="D76" i="1" s="1"/>
  <c r="B77" i="1"/>
  <c r="C77" i="1" s="1" a="1"/>
  <c r="C77" i="1" s="1"/>
  <c r="D77" i="1" s="1"/>
  <c r="B78" i="1"/>
  <c r="C78" i="1" s="1" a="1"/>
  <c r="C78" i="1" s="1"/>
  <c r="D78" i="1" s="1"/>
  <c r="B79" i="1"/>
  <c r="C79" i="1" s="1" a="1"/>
  <c r="C79" i="1" s="1"/>
  <c r="D79" i="1" s="1"/>
  <c r="B80" i="1"/>
  <c r="C80" i="1" s="1" a="1"/>
  <c r="C80" i="1" s="1"/>
  <c r="D80" i="1" s="1"/>
  <c r="B81" i="1"/>
  <c r="C81" i="1" s="1" a="1"/>
  <c r="C81" i="1" s="1"/>
  <c r="D81" i="1" s="1"/>
  <c r="B82" i="1"/>
  <c r="C82" i="1" s="1" a="1"/>
  <c r="C82" i="1" s="1"/>
  <c r="D82" i="1" s="1"/>
  <c r="B83" i="1"/>
  <c r="C83" i="1" s="1" a="1"/>
  <c r="C83" i="1" s="1"/>
  <c r="D83" i="1" s="1"/>
  <c r="B84" i="1"/>
  <c r="C84" i="1" s="1" a="1"/>
  <c r="C84" i="1" s="1"/>
  <c r="D84" i="1" s="1"/>
  <c r="B85" i="1"/>
  <c r="C85" i="1" s="1" a="1"/>
  <c r="C85" i="1" s="1"/>
  <c r="D85" i="1" s="1"/>
  <c r="B86" i="1"/>
  <c r="C86" i="1" s="1" a="1"/>
  <c r="C86" i="1" s="1"/>
  <c r="D86" i="1" s="1"/>
  <c r="B87" i="1"/>
  <c r="C87" i="1" s="1" a="1"/>
  <c r="C87" i="1" s="1"/>
  <c r="D87" i="1" s="1"/>
  <c r="B88" i="1"/>
  <c r="C88" i="1" s="1" a="1"/>
  <c r="C88" i="1" s="1"/>
  <c r="D88" i="1" s="1"/>
  <c r="B89" i="1"/>
  <c r="C89" i="1" s="1" a="1"/>
  <c r="C89" i="1" s="1"/>
  <c r="D89" i="1" s="1"/>
  <c r="B90" i="1"/>
  <c r="C90" i="1" s="1" a="1"/>
  <c r="C90" i="1" s="1"/>
  <c r="D90" i="1" s="1"/>
  <c r="B91" i="1"/>
  <c r="C91" i="1" s="1" a="1"/>
  <c r="C91" i="1" s="1"/>
  <c r="D91" i="1" s="1"/>
  <c r="B92" i="1"/>
  <c r="C92" i="1" s="1" a="1"/>
  <c r="C92" i="1" s="1"/>
  <c r="D92" i="1" s="1"/>
  <c r="B93" i="1"/>
  <c r="C93" i="1" s="1" a="1"/>
  <c r="C93" i="1" s="1"/>
  <c r="D93" i="1" s="1"/>
  <c r="B94" i="1"/>
  <c r="C94" i="1" s="1" a="1"/>
  <c r="C94" i="1" s="1"/>
  <c r="D94" i="1" s="1"/>
  <c r="B95" i="1"/>
  <c r="C95" i="1" s="1" a="1"/>
  <c r="C95" i="1" s="1"/>
  <c r="D95" i="1" s="1"/>
  <c r="B96" i="1"/>
  <c r="C96" i="1" s="1" a="1"/>
  <c r="C96" i="1" s="1"/>
  <c r="D96" i="1" s="1"/>
  <c r="B97" i="1"/>
  <c r="C97" i="1" s="1" a="1"/>
  <c r="C97" i="1" s="1"/>
  <c r="D97" i="1" s="1"/>
  <c r="B98" i="1"/>
  <c r="C98" i="1" s="1" a="1"/>
  <c r="C98" i="1" s="1"/>
  <c r="D98" i="1" s="1"/>
  <c r="B99" i="1"/>
  <c r="C99" i="1" s="1" a="1"/>
  <c r="C99" i="1" s="1"/>
  <c r="D99" i="1" s="1"/>
  <c r="B100" i="1"/>
  <c r="C100" i="1" s="1" a="1"/>
  <c r="C100" i="1" s="1"/>
  <c r="D100" i="1" s="1"/>
  <c r="B101" i="1"/>
  <c r="C101" i="1" s="1" a="1"/>
  <c r="C101" i="1" s="1"/>
  <c r="D101" i="1" s="1"/>
  <c r="B102" i="1"/>
  <c r="C102" i="1" s="1" a="1"/>
  <c r="C102" i="1" s="1"/>
  <c r="D102" i="1" s="1"/>
  <c r="B103" i="1"/>
  <c r="C103" i="1" s="1" a="1"/>
  <c r="C103" i="1" s="1"/>
  <c r="D103" i="1" s="1"/>
  <c r="B104" i="1"/>
  <c r="C104" i="1" s="1" a="1"/>
  <c r="C104" i="1" s="1"/>
  <c r="D104" i="1" s="1"/>
  <c r="B105" i="1"/>
  <c r="C105" i="1" s="1" a="1"/>
  <c r="C105" i="1" s="1"/>
  <c r="D105" i="1" s="1"/>
  <c r="B106" i="1"/>
  <c r="C106" i="1" s="1" a="1"/>
  <c r="C106" i="1" s="1"/>
  <c r="D106" i="1" s="1"/>
  <c r="B107" i="1"/>
  <c r="C107" i="1" s="1" a="1"/>
  <c r="C107" i="1" s="1"/>
  <c r="D107" i="1" s="1"/>
  <c r="B108" i="1"/>
  <c r="C108" i="1" s="1" a="1"/>
  <c r="C108" i="1" s="1"/>
  <c r="D108" i="1" s="1"/>
  <c r="B109" i="1"/>
  <c r="C109" i="1" s="1" a="1"/>
  <c r="C109" i="1" s="1"/>
  <c r="D109" i="1" s="1"/>
  <c r="B110" i="1"/>
  <c r="C110" i="1" s="1" a="1"/>
  <c r="C110" i="1" s="1"/>
  <c r="D110" i="1" s="1"/>
  <c r="B111" i="1"/>
  <c r="C111" i="1" s="1" a="1"/>
  <c r="C111" i="1" s="1"/>
  <c r="D111" i="1" s="1"/>
  <c r="B112" i="1"/>
  <c r="C112" i="1" s="1" a="1"/>
  <c r="C112" i="1" s="1"/>
  <c r="D112" i="1" s="1"/>
  <c r="B113" i="1"/>
  <c r="C113" i="1" s="1" a="1"/>
  <c r="C113" i="1" s="1"/>
  <c r="D113" i="1" s="1"/>
  <c r="B114" i="1"/>
  <c r="C114" i="1" s="1" a="1"/>
  <c r="C114" i="1" s="1"/>
  <c r="D114" i="1" s="1"/>
  <c r="B115" i="1"/>
  <c r="C115" i="1" s="1" a="1"/>
  <c r="C115" i="1" s="1"/>
  <c r="D115" i="1" s="1"/>
  <c r="B116" i="1"/>
  <c r="C116" i="1" s="1" a="1"/>
  <c r="C116" i="1" s="1"/>
  <c r="D116" i="1" s="1"/>
  <c r="B117" i="1"/>
  <c r="C117" i="1" s="1" a="1"/>
  <c r="C117" i="1" s="1"/>
  <c r="D117" i="1" s="1"/>
  <c r="B118" i="1"/>
  <c r="C118" i="1" s="1" a="1"/>
  <c r="C118" i="1" s="1"/>
  <c r="D118" i="1" s="1"/>
  <c r="B119" i="1"/>
  <c r="C119" i="1" s="1" a="1"/>
  <c r="C119" i="1" s="1"/>
  <c r="D119" i="1" s="1"/>
  <c r="B120" i="1"/>
  <c r="C120" i="1" s="1" a="1"/>
  <c r="C120" i="1" s="1"/>
  <c r="D120" i="1" s="1"/>
  <c r="B121" i="1"/>
  <c r="C121" i="1" s="1" a="1"/>
  <c r="C121" i="1" s="1"/>
  <c r="D121" i="1" s="1"/>
  <c r="B122" i="1"/>
  <c r="C122" i="1" s="1" a="1"/>
  <c r="C122" i="1" s="1"/>
  <c r="D122" i="1" s="1"/>
  <c r="B123" i="1"/>
  <c r="C123" i="1" s="1" a="1"/>
  <c r="C123" i="1" s="1"/>
  <c r="D123" i="1" s="1"/>
  <c r="B124" i="1"/>
  <c r="C124" i="1" s="1" a="1"/>
  <c r="C124" i="1" s="1"/>
  <c r="D124" i="1" s="1"/>
  <c r="B125" i="1"/>
  <c r="C125" i="1" s="1" a="1"/>
  <c r="C125" i="1" s="1"/>
  <c r="D125" i="1" s="1"/>
  <c r="B126" i="1"/>
  <c r="C126" i="1" s="1" a="1"/>
  <c r="C126" i="1" s="1"/>
  <c r="D126" i="1" s="1"/>
  <c r="B127" i="1"/>
  <c r="C127" i="1" s="1" a="1"/>
  <c r="C127" i="1" s="1"/>
  <c r="D127" i="1" s="1"/>
  <c r="B128" i="1"/>
  <c r="C128" i="1" s="1" a="1"/>
  <c r="C128" i="1" s="1"/>
  <c r="D128" i="1" s="1"/>
  <c r="B129" i="1"/>
  <c r="C129" i="1" s="1" a="1"/>
  <c r="C129" i="1" s="1"/>
  <c r="D129" i="1" s="1"/>
  <c r="B130" i="1"/>
  <c r="C130" i="1" s="1" a="1"/>
  <c r="C130" i="1" s="1"/>
  <c r="D130" i="1" s="1"/>
  <c r="B131" i="1"/>
  <c r="C131" i="1" s="1" a="1"/>
  <c r="C131" i="1" s="1"/>
  <c r="D131" i="1" s="1"/>
  <c r="B132" i="1"/>
  <c r="C132" i="1" s="1" a="1"/>
  <c r="C132" i="1" s="1"/>
  <c r="D132" i="1" s="1"/>
  <c r="B133" i="1"/>
  <c r="C133" i="1" s="1" a="1"/>
  <c r="C133" i="1" s="1"/>
  <c r="D133" i="1" s="1"/>
  <c r="B134" i="1"/>
  <c r="C134" i="1" s="1" a="1"/>
  <c r="C134" i="1" s="1"/>
  <c r="D134" i="1" s="1"/>
  <c r="B135" i="1"/>
  <c r="C135" i="1" s="1" a="1"/>
  <c r="C135" i="1" s="1"/>
  <c r="D135" i="1" s="1"/>
  <c r="B136" i="1"/>
  <c r="C136" i="1" s="1" a="1"/>
  <c r="C136" i="1" s="1"/>
  <c r="D136" i="1" s="1"/>
  <c r="B137" i="1"/>
  <c r="C137" i="1" s="1" a="1"/>
  <c r="C137" i="1" s="1"/>
  <c r="D137" i="1" s="1"/>
  <c r="B138" i="1"/>
  <c r="C138" i="1" s="1" a="1"/>
  <c r="C138" i="1" s="1"/>
  <c r="D138" i="1" s="1"/>
  <c r="B139" i="1"/>
  <c r="C139" i="1" s="1" a="1"/>
  <c r="C139" i="1" s="1"/>
  <c r="D139" i="1" s="1"/>
  <c r="B140" i="1"/>
  <c r="C140" i="1" s="1" a="1"/>
  <c r="C140" i="1" s="1"/>
  <c r="D140" i="1" s="1"/>
  <c r="B141" i="1"/>
  <c r="C141" i="1" s="1" a="1"/>
  <c r="C141" i="1" s="1"/>
  <c r="D141" i="1" s="1"/>
  <c r="B142" i="1"/>
  <c r="C142" i="1" s="1" a="1"/>
  <c r="C142" i="1" s="1"/>
  <c r="D142" i="1" s="1"/>
  <c r="B143" i="1"/>
  <c r="C143" i="1" s="1" a="1"/>
  <c r="C143" i="1" s="1"/>
  <c r="D143" i="1" s="1"/>
  <c r="B144" i="1"/>
  <c r="C144" i="1" s="1" a="1"/>
  <c r="C144" i="1" s="1"/>
  <c r="D144" i="1" s="1"/>
  <c r="B145" i="1"/>
  <c r="C145" i="1" s="1" a="1"/>
  <c r="C145" i="1" s="1"/>
  <c r="D145" i="1" s="1"/>
  <c r="B146" i="1"/>
  <c r="C146" i="1" s="1" a="1"/>
  <c r="C146" i="1" s="1"/>
  <c r="D146" i="1" s="1"/>
  <c r="B147" i="1"/>
  <c r="C147" i="1" s="1" a="1"/>
  <c r="C147" i="1" s="1"/>
  <c r="D147" i="1" s="1"/>
  <c r="B148" i="1"/>
  <c r="C148" i="1" s="1" a="1"/>
  <c r="C148" i="1" s="1"/>
  <c r="D148" i="1" s="1"/>
  <c r="B149" i="1"/>
  <c r="C149" i="1" s="1" a="1"/>
  <c r="C149" i="1" s="1"/>
  <c r="D149" i="1" s="1"/>
  <c r="B150" i="1"/>
  <c r="C150" i="1" s="1" a="1"/>
  <c r="C150" i="1" s="1"/>
  <c r="D150" i="1" s="1"/>
  <c r="B151" i="1"/>
  <c r="C151" i="1" s="1" a="1"/>
  <c r="C151" i="1" s="1"/>
  <c r="D151" i="1" s="1"/>
  <c r="B152" i="1"/>
  <c r="C152" i="1" s="1" a="1"/>
  <c r="C152" i="1" s="1"/>
  <c r="D152" i="1" s="1"/>
  <c r="B153" i="1"/>
  <c r="C153" i="1" s="1" a="1"/>
  <c r="C153" i="1" s="1"/>
  <c r="D153" i="1" s="1"/>
  <c r="B154" i="1"/>
  <c r="C154" i="1" s="1" a="1"/>
  <c r="C154" i="1" s="1"/>
  <c r="D154" i="1" s="1"/>
  <c r="B155" i="1"/>
  <c r="C155" i="1" s="1" a="1"/>
  <c r="C155" i="1" s="1"/>
  <c r="D155" i="1" s="1"/>
  <c r="B156" i="1"/>
  <c r="C156" i="1" s="1" a="1"/>
  <c r="C156" i="1" s="1"/>
  <c r="D156" i="1" s="1"/>
  <c r="B157" i="1"/>
  <c r="C157" i="1" s="1" a="1"/>
  <c r="C157" i="1" s="1"/>
  <c r="D157" i="1" s="1"/>
  <c r="B158" i="1"/>
  <c r="C158" i="1" s="1" a="1"/>
  <c r="C158" i="1" s="1"/>
  <c r="D158" i="1" s="1"/>
  <c r="B159" i="1"/>
  <c r="C159" i="1" s="1" a="1"/>
  <c r="C159" i="1" s="1"/>
  <c r="D159" i="1" s="1"/>
  <c r="B160" i="1"/>
  <c r="C160" i="1" s="1" a="1"/>
  <c r="C160" i="1" s="1"/>
  <c r="D160" i="1" s="1"/>
  <c r="B161" i="1"/>
  <c r="C161" i="1" s="1" a="1"/>
  <c r="C161" i="1" s="1"/>
  <c r="D161" i="1" s="1"/>
  <c r="B162" i="1"/>
  <c r="C162" i="1" s="1" a="1"/>
  <c r="C162" i="1" s="1"/>
  <c r="D162" i="1" s="1"/>
  <c r="B163" i="1"/>
  <c r="C163" i="1" s="1" a="1"/>
  <c r="C163" i="1" s="1"/>
  <c r="D163" i="1" s="1"/>
  <c r="B164" i="1"/>
  <c r="C164" i="1" s="1" a="1"/>
  <c r="C164" i="1" s="1"/>
  <c r="D164" i="1" s="1"/>
  <c r="B165" i="1"/>
  <c r="C165" i="1" s="1" a="1"/>
  <c r="C165" i="1" s="1"/>
  <c r="D165" i="1" s="1"/>
  <c r="B166" i="1"/>
  <c r="C166" i="1" s="1" a="1"/>
  <c r="C166" i="1" s="1"/>
  <c r="D166" i="1" s="1"/>
  <c r="B167" i="1"/>
  <c r="C167" i="1" s="1" a="1"/>
  <c r="C167" i="1" s="1"/>
  <c r="D167" i="1" s="1"/>
  <c r="B168" i="1"/>
  <c r="C168" i="1" s="1" a="1"/>
  <c r="C168" i="1" s="1"/>
  <c r="D168" i="1" s="1"/>
  <c r="B169" i="1"/>
  <c r="C169" i="1" s="1" a="1"/>
  <c r="C169" i="1" s="1"/>
  <c r="D169" i="1" s="1"/>
  <c r="B170" i="1"/>
  <c r="C170" i="1" s="1" a="1"/>
  <c r="C170" i="1" s="1"/>
  <c r="D170" i="1" s="1"/>
  <c r="B171" i="1"/>
  <c r="C171" i="1" s="1" a="1"/>
  <c r="C171" i="1" s="1"/>
  <c r="D171" i="1" s="1"/>
  <c r="B172" i="1"/>
  <c r="C172" i="1" s="1" a="1"/>
  <c r="C172" i="1" s="1"/>
  <c r="D172" i="1" s="1"/>
  <c r="B173" i="1"/>
  <c r="C173" i="1" s="1" a="1"/>
  <c r="C173" i="1" s="1"/>
  <c r="D173" i="1" s="1"/>
  <c r="B174" i="1"/>
  <c r="C174" i="1" s="1" a="1"/>
  <c r="C174" i="1" s="1"/>
  <c r="D174" i="1" s="1"/>
  <c r="B175" i="1"/>
  <c r="C175" i="1" s="1" a="1"/>
  <c r="C175" i="1" s="1"/>
  <c r="D175" i="1" s="1"/>
  <c r="B176" i="1"/>
  <c r="C176" i="1" s="1" a="1"/>
  <c r="C176" i="1" s="1"/>
  <c r="D176" i="1" s="1"/>
  <c r="B177" i="1"/>
  <c r="C177" i="1" s="1" a="1"/>
  <c r="C177" i="1" s="1"/>
  <c r="D177" i="1" s="1"/>
  <c r="B178" i="1"/>
  <c r="C178" i="1" s="1" a="1"/>
  <c r="C178" i="1" s="1"/>
  <c r="D178" i="1" s="1"/>
  <c r="B179" i="1"/>
  <c r="C179" i="1" s="1" a="1"/>
  <c r="C179" i="1" s="1"/>
  <c r="D179" i="1" s="1"/>
  <c r="B180" i="1"/>
  <c r="C180" i="1" s="1" a="1"/>
  <c r="C180" i="1" s="1"/>
  <c r="D180" i="1" s="1"/>
  <c r="B181" i="1"/>
  <c r="C181" i="1" s="1" a="1"/>
  <c r="C181" i="1" s="1"/>
  <c r="D181" i="1" s="1"/>
  <c r="B182" i="1"/>
  <c r="C182" i="1" s="1" a="1"/>
  <c r="C182" i="1" s="1"/>
  <c r="D182" i="1" s="1"/>
  <c r="B183" i="1"/>
  <c r="C183" i="1" s="1" a="1"/>
  <c r="C183" i="1" s="1"/>
  <c r="D183" i="1" s="1"/>
  <c r="B184" i="1"/>
  <c r="C184" i="1" s="1" a="1"/>
  <c r="C184" i="1" s="1"/>
  <c r="D184" i="1" s="1"/>
  <c r="B185" i="1"/>
  <c r="C185" i="1" s="1" a="1"/>
  <c r="C185" i="1" s="1"/>
  <c r="D185" i="1" s="1"/>
  <c r="B186" i="1"/>
  <c r="C186" i="1" s="1" a="1"/>
  <c r="C186" i="1" s="1"/>
  <c r="D186" i="1" s="1"/>
  <c r="B187" i="1"/>
  <c r="C187" i="1" s="1" a="1"/>
  <c r="C187" i="1" s="1"/>
  <c r="D187" i="1" s="1"/>
  <c r="B188" i="1"/>
  <c r="C188" i="1" s="1" a="1"/>
  <c r="C188" i="1" s="1"/>
  <c r="D188" i="1" s="1"/>
  <c r="B189" i="1"/>
  <c r="C189" i="1" s="1" a="1"/>
  <c r="C189" i="1" s="1"/>
  <c r="D189" i="1" s="1"/>
  <c r="B190" i="1"/>
  <c r="C190" i="1" s="1" a="1"/>
  <c r="C190" i="1" s="1"/>
  <c r="D190" i="1" s="1"/>
  <c r="B191" i="1"/>
  <c r="C191" i="1" s="1" a="1"/>
  <c r="C191" i="1" s="1"/>
  <c r="D191" i="1" s="1"/>
  <c r="B192" i="1"/>
  <c r="C192" i="1" s="1" a="1"/>
  <c r="C192" i="1" s="1"/>
  <c r="D192" i="1" s="1"/>
  <c r="B193" i="1"/>
  <c r="C193" i="1" s="1" a="1"/>
  <c r="C193" i="1" s="1"/>
  <c r="D193" i="1" s="1"/>
  <c r="B194" i="1"/>
  <c r="C194" i="1" s="1" a="1"/>
  <c r="C194" i="1" s="1"/>
  <c r="D194" i="1" s="1"/>
  <c r="B195" i="1"/>
  <c r="C195" i="1" s="1" a="1"/>
  <c r="C195" i="1" s="1"/>
  <c r="D195" i="1" s="1"/>
  <c r="B196" i="1"/>
  <c r="C196" i="1" s="1" a="1"/>
  <c r="C196" i="1" s="1"/>
  <c r="D196" i="1" s="1"/>
  <c r="B197" i="1"/>
  <c r="C197" i="1" s="1" a="1"/>
  <c r="C197" i="1" s="1"/>
  <c r="D197" i="1" s="1"/>
  <c r="B198" i="1"/>
  <c r="C198" i="1" s="1" a="1"/>
  <c r="C198" i="1" s="1"/>
  <c r="D198" i="1" s="1"/>
  <c r="B199" i="1"/>
  <c r="C199" i="1" s="1" a="1"/>
  <c r="C199" i="1" s="1"/>
  <c r="D199" i="1" s="1"/>
  <c r="B200" i="1"/>
  <c r="C200" i="1" s="1" a="1"/>
  <c r="C200" i="1" s="1"/>
  <c r="D200" i="1" s="1"/>
  <c r="B201" i="1"/>
  <c r="C201" i="1" s="1" a="1"/>
  <c r="C201" i="1" s="1"/>
  <c r="D201" i="1" s="1"/>
  <c r="B202" i="1"/>
  <c r="C202" i="1" s="1" a="1"/>
  <c r="C202" i="1" s="1"/>
  <c r="D202" i="1" s="1"/>
  <c r="B203" i="1"/>
  <c r="C203" i="1" s="1" a="1"/>
  <c r="C203" i="1" s="1"/>
  <c r="D203" i="1" s="1"/>
  <c r="B204" i="1"/>
  <c r="C204" i="1" s="1" a="1"/>
  <c r="C204" i="1" s="1"/>
  <c r="D204" i="1" s="1"/>
  <c r="B205" i="1"/>
  <c r="C205" i="1" s="1" a="1"/>
  <c r="C205" i="1" s="1"/>
  <c r="D205" i="1" s="1"/>
  <c r="B206" i="1"/>
  <c r="C206" i="1" s="1" a="1"/>
  <c r="C206" i="1" s="1"/>
  <c r="D206" i="1" s="1"/>
  <c r="B207" i="1"/>
  <c r="C207" i="1" s="1" a="1"/>
  <c r="C207" i="1" s="1"/>
  <c r="D207" i="1" s="1"/>
  <c r="B208" i="1"/>
  <c r="C208" i="1" s="1" a="1"/>
  <c r="C208" i="1" s="1"/>
  <c r="D208" i="1" s="1"/>
  <c r="B209" i="1"/>
  <c r="C209" i="1" s="1" a="1"/>
  <c r="C209" i="1" s="1"/>
  <c r="D209" i="1" s="1"/>
  <c r="B210" i="1"/>
  <c r="C210" i="1" s="1" a="1"/>
  <c r="C210" i="1" s="1"/>
  <c r="D210" i="1" s="1"/>
  <c r="B211" i="1"/>
  <c r="C211" i="1" s="1" a="1"/>
  <c r="C211" i="1" s="1"/>
  <c r="D211" i="1" s="1"/>
  <c r="B212" i="1"/>
  <c r="C212" i="1" s="1" a="1"/>
  <c r="C212" i="1" s="1"/>
  <c r="D212" i="1" s="1"/>
  <c r="B213" i="1"/>
  <c r="C213" i="1" s="1" a="1"/>
  <c r="C213" i="1" s="1"/>
  <c r="D213" i="1" s="1"/>
  <c r="B214" i="1"/>
  <c r="C214" i="1" s="1" a="1"/>
  <c r="C214" i="1" s="1"/>
  <c r="D214" i="1" s="1"/>
  <c r="B215" i="1"/>
  <c r="C215" i="1" s="1" a="1"/>
  <c r="C215" i="1" s="1"/>
  <c r="D215" i="1" s="1"/>
  <c r="B216" i="1"/>
  <c r="C216" i="1" s="1" a="1"/>
  <c r="C216" i="1" s="1"/>
  <c r="D216" i="1" s="1"/>
  <c r="B217" i="1"/>
  <c r="C217" i="1" s="1" a="1"/>
  <c r="C217" i="1" s="1"/>
  <c r="D217" i="1" s="1"/>
  <c r="B218" i="1"/>
  <c r="C218" i="1" s="1" a="1"/>
  <c r="C218" i="1" s="1"/>
  <c r="D218" i="1" s="1"/>
  <c r="B219" i="1"/>
  <c r="C219" i="1" s="1" a="1"/>
  <c r="C219" i="1" s="1"/>
  <c r="D219" i="1" s="1"/>
  <c r="B220" i="1"/>
  <c r="C220" i="1" s="1" a="1"/>
  <c r="C220" i="1" s="1"/>
  <c r="D220" i="1" s="1"/>
  <c r="B221" i="1"/>
  <c r="C221" i="1" s="1" a="1"/>
  <c r="C221" i="1" s="1"/>
  <c r="D221" i="1" s="1"/>
  <c r="B222" i="1"/>
  <c r="C222" i="1" s="1" a="1"/>
  <c r="C222" i="1" s="1"/>
  <c r="D222" i="1" s="1"/>
  <c r="B223" i="1"/>
  <c r="C223" i="1" s="1" a="1"/>
  <c r="C223" i="1" s="1"/>
  <c r="D223" i="1" s="1"/>
  <c r="B224" i="1"/>
  <c r="C224" i="1" s="1" a="1"/>
  <c r="C224" i="1" s="1"/>
  <c r="D224" i="1" s="1"/>
  <c r="B225" i="1"/>
  <c r="C225" i="1" s="1" a="1"/>
  <c r="C225" i="1" s="1"/>
  <c r="D225" i="1" s="1"/>
  <c r="B226" i="1"/>
  <c r="C226" i="1" s="1" a="1"/>
  <c r="C226" i="1" s="1"/>
  <c r="D226" i="1" s="1"/>
  <c r="B227" i="1"/>
  <c r="C227" i="1" s="1" a="1"/>
  <c r="C227" i="1" s="1"/>
  <c r="D227" i="1" s="1"/>
  <c r="B228" i="1"/>
  <c r="C228" i="1" s="1" a="1"/>
  <c r="C228" i="1" s="1"/>
  <c r="D228" i="1" s="1"/>
  <c r="B229" i="1"/>
  <c r="C229" i="1" s="1" a="1"/>
  <c r="C229" i="1" s="1"/>
  <c r="D229" i="1" s="1"/>
  <c r="B230" i="1"/>
  <c r="C230" i="1" s="1" a="1"/>
  <c r="C230" i="1" s="1"/>
  <c r="D230" i="1" s="1"/>
  <c r="B231" i="1"/>
  <c r="C231" i="1" s="1" a="1"/>
  <c r="C231" i="1" s="1"/>
  <c r="D231" i="1" s="1"/>
  <c r="B232" i="1"/>
  <c r="C232" i="1" s="1" a="1"/>
  <c r="C232" i="1" s="1"/>
  <c r="D232" i="1" s="1"/>
  <c r="B233" i="1"/>
  <c r="C233" i="1" s="1" a="1"/>
  <c r="C233" i="1" s="1"/>
  <c r="D233" i="1" s="1"/>
  <c r="B234" i="1"/>
  <c r="C234" i="1" s="1" a="1"/>
  <c r="C234" i="1" s="1"/>
  <c r="D234" i="1" s="1"/>
  <c r="B235" i="1"/>
  <c r="C235" i="1" s="1" a="1"/>
  <c r="C235" i="1" s="1"/>
  <c r="D235" i="1" s="1"/>
  <c r="B236" i="1"/>
  <c r="C236" i="1" s="1" a="1"/>
  <c r="C236" i="1" s="1"/>
  <c r="D236" i="1" s="1"/>
  <c r="B237" i="1"/>
  <c r="C237" i="1" s="1" a="1"/>
  <c r="C237" i="1" s="1"/>
  <c r="D237" i="1" s="1"/>
  <c r="B238" i="1"/>
  <c r="C238" i="1" s="1" a="1"/>
  <c r="C238" i="1" s="1"/>
  <c r="D238" i="1" s="1"/>
  <c r="B239" i="1"/>
  <c r="C239" i="1" s="1" a="1"/>
  <c r="C239" i="1" s="1"/>
  <c r="D239" i="1" s="1"/>
  <c r="B240" i="1"/>
  <c r="C240" i="1" s="1" a="1"/>
  <c r="C240" i="1" s="1"/>
  <c r="D240" i="1" s="1"/>
  <c r="B241" i="1"/>
  <c r="C241" i="1" s="1" a="1"/>
  <c r="C241" i="1" s="1"/>
  <c r="D241" i="1" s="1"/>
  <c r="B242" i="1"/>
  <c r="C242" i="1" s="1" a="1"/>
  <c r="C242" i="1" s="1"/>
  <c r="D242" i="1" s="1"/>
  <c r="B243" i="1"/>
  <c r="C243" i="1" s="1" a="1"/>
  <c r="C243" i="1" s="1"/>
  <c r="D243" i="1" s="1"/>
  <c r="B244" i="1"/>
  <c r="C244" i="1" s="1" a="1"/>
  <c r="C244" i="1" s="1"/>
  <c r="D244" i="1" s="1"/>
  <c r="B245" i="1"/>
  <c r="C245" i="1" s="1" a="1"/>
  <c r="C245" i="1" s="1"/>
  <c r="D245" i="1" s="1"/>
  <c r="B246" i="1"/>
  <c r="C246" i="1" s="1" a="1"/>
  <c r="C246" i="1" s="1"/>
  <c r="D246" i="1" s="1"/>
  <c r="B247" i="1"/>
  <c r="C247" i="1" s="1" a="1"/>
  <c r="C247" i="1" s="1"/>
  <c r="D247" i="1" s="1"/>
  <c r="B248" i="1"/>
  <c r="C248" i="1" s="1" a="1"/>
  <c r="C248" i="1" s="1"/>
  <c r="D248" i="1" s="1"/>
  <c r="B249" i="1"/>
  <c r="C249" i="1" s="1" a="1"/>
  <c r="C249" i="1" s="1"/>
  <c r="D249" i="1" s="1"/>
  <c r="B250" i="1"/>
  <c r="C250" i="1" s="1" a="1"/>
  <c r="C250" i="1" s="1"/>
  <c r="D250" i="1" s="1"/>
  <c r="B251" i="1"/>
  <c r="C251" i="1" s="1" a="1"/>
  <c r="C251" i="1" s="1"/>
  <c r="D251" i="1" s="1"/>
  <c r="B252" i="1"/>
  <c r="C252" i="1" s="1" a="1"/>
  <c r="C252" i="1" s="1"/>
  <c r="D252" i="1" s="1"/>
  <c r="B253" i="1"/>
  <c r="C253" i="1" s="1" a="1"/>
  <c r="C253" i="1" s="1"/>
  <c r="D253" i="1" s="1"/>
  <c r="B254" i="1"/>
  <c r="C254" i="1" s="1" a="1"/>
  <c r="C254" i="1" s="1"/>
  <c r="D254" i="1" s="1"/>
  <c r="B255" i="1"/>
  <c r="C255" i="1" s="1" a="1"/>
  <c r="C255" i="1" s="1"/>
  <c r="D255" i="1" s="1"/>
  <c r="B256" i="1"/>
  <c r="C256" i="1" s="1" a="1"/>
  <c r="C256" i="1" s="1"/>
  <c r="D256" i="1" s="1"/>
  <c r="B257" i="1"/>
  <c r="C257" i="1" s="1" a="1"/>
  <c r="C257" i="1" s="1"/>
  <c r="D257" i="1" s="1"/>
  <c r="B258" i="1"/>
  <c r="C258" i="1" s="1" a="1"/>
  <c r="C258" i="1" s="1"/>
  <c r="D258" i="1" s="1"/>
  <c r="B259" i="1"/>
  <c r="C259" i="1" s="1" a="1"/>
  <c r="C259" i="1" s="1"/>
  <c r="D259" i="1" s="1"/>
  <c r="B260" i="1"/>
  <c r="C260" i="1" s="1" a="1"/>
  <c r="C260" i="1" s="1"/>
  <c r="D260" i="1" s="1"/>
  <c r="B261" i="1"/>
  <c r="C261" i="1" s="1" a="1"/>
  <c r="C261" i="1" s="1"/>
  <c r="D261" i="1" s="1"/>
  <c r="B262" i="1"/>
  <c r="C262" i="1" s="1" a="1"/>
  <c r="C262" i="1" s="1"/>
  <c r="D262" i="1" s="1"/>
  <c r="B263" i="1"/>
  <c r="C263" i="1" s="1" a="1"/>
  <c r="C263" i="1" s="1"/>
  <c r="D263" i="1" s="1"/>
  <c r="B264" i="1"/>
  <c r="C264" i="1" s="1" a="1"/>
  <c r="C264" i="1" s="1"/>
  <c r="D264" i="1" s="1"/>
  <c r="B265" i="1"/>
  <c r="C265" i="1" s="1" a="1"/>
  <c r="C265" i="1" s="1"/>
  <c r="D265" i="1" s="1"/>
  <c r="B266" i="1"/>
  <c r="C266" i="1" s="1" a="1"/>
  <c r="C266" i="1" s="1"/>
  <c r="D266" i="1" s="1"/>
  <c r="B267" i="1"/>
  <c r="C267" i="1" s="1" a="1"/>
  <c r="C267" i="1" s="1"/>
  <c r="D267" i="1" s="1"/>
  <c r="B268" i="1"/>
  <c r="C268" i="1" s="1" a="1"/>
  <c r="C268" i="1" s="1"/>
  <c r="D268" i="1" s="1"/>
  <c r="B269" i="1"/>
  <c r="C269" i="1" s="1" a="1"/>
  <c r="C269" i="1" s="1"/>
  <c r="D269" i="1" s="1"/>
  <c r="B270" i="1"/>
  <c r="C270" i="1" s="1" a="1"/>
  <c r="C270" i="1" s="1"/>
  <c r="D270" i="1" s="1"/>
  <c r="B271" i="1"/>
  <c r="C271" i="1" s="1" a="1"/>
  <c r="C271" i="1" s="1"/>
  <c r="D271" i="1" s="1"/>
  <c r="B272" i="1"/>
  <c r="C272" i="1" s="1" a="1"/>
  <c r="C272" i="1" s="1"/>
  <c r="D272" i="1" s="1"/>
  <c r="B273" i="1"/>
  <c r="C273" i="1" s="1" a="1"/>
  <c r="C273" i="1" s="1"/>
  <c r="D273" i="1" s="1"/>
  <c r="B274" i="1"/>
  <c r="C274" i="1" s="1" a="1"/>
  <c r="C274" i="1" s="1"/>
  <c r="D274" i="1" s="1"/>
  <c r="B275" i="1"/>
  <c r="C275" i="1" s="1" a="1"/>
  <c r="C275" i="1" s="1"/>
  <c r="D275" i="1" s="1"/>
  <c r="B276" i="1"/>
  <c r="C276" i="1" s="1" a="1"/>
  <c r="C276" i="1" s="1"/>
  <c r="D276" i="1" s="1"/>
  <c r="B277" i="1"/>
  <c r="C277" i="1" s="1" a="1"/>
  <c r="C277" i="1" s="1"/>
  <c r="D277" i="1" s="1"/>
  <c r="B278" i="1"/>
  <c r="C278" i="1" s="1" a="1"/>
  <c r="C278" i="1" s="1"/>
  <c r="D278" i="1" s="1"/>
  <c r="B279" i="1"/>
  <c r="C279" i="1" s="1" a="1"/>
  <c r="C279" i="1" s="1"/>
  <c r="D279" i="1" s="1"/>
  <c r="B280" i="1"/>
  <c r="C280" i="1" s="1" a="1"/>
  <c r="C280" i="1" s="1"/>
  <c r="D280" i="1" s="1"/>
  <c r="B281" i="1"/>
  <c r="C281" i="1" s="1" a="1"/>
  <c r="C281" i="1" s="1"/>
  <c r="D281" i="1" s="1"/>
  <c r="B282" i="1"/>
  <c r="C282" i="1" s="1" a="1"/>
  <c r="C282" i="1" s="1"/>
  <c r="D282" i="1" s="1"/>
  <c r="B283" i="1"/>
  <c r="C283" i="1" s="1" a="1"/>
  <c r="C283" i="1" s="1"/>
  <c r="D283" i="1" s="1"/>
  <c r="B284" i="1"/>
  <c r="C284" i="1" s="1" a="1"/>
  <c r="C284" i="1" s="1"/>
  <c r="D284" i="1" s="1"/>
  <c r="B285" i="1"/>
  <c r="C285" i="1" s="1" a="1"/>
  <c r="C285" i="1" s="1"/>
  <c r="D285" i="1" s="1"/>
  <c r="B286" i="1"/>
  <c r="C286" i="1" s="1" a="1"/>
  <c r="C286" i="1" s="1"/>
  <c r="D286" i="1" s="1"/>
  <c r="B287" i="1"/>
  <c r="C287" i="1" s="1" a="1"/>
  <c r="C287" i="1" s="1"/>
  <c r="D287" i="1" s="1"/>
  <c r="B288" i="1"/>
  <c r="C288" i="1" s="1" a="1"/>
  <c r="C288" i="1" s="1"/>
  <c r="D288" i="1" s="1"/>
  <c r="B289" i="1"/>
  <c r="C289" i="1" s="1" a="1"/>
  <c r="C289" i="1" s="1"/>
  <c r="D289" i="1" s="1"/>
  <c r="B290" i="1"/>
  <c r="C290" i="1" s="1" a="1"/>
  <c r="C290" i="1" s="1"/>
  <c r="D290" i="1" s="1"/>
  <c r="B291" i="1"/>
  <c r="C291" i="1" s="1" a="1"/>
  <c r="C291" i="1" s="1"/>
  <c r="D291" i="1" s="1"/>
  <c r="B292" i="1"/>
  <c r="C292" i="1" s="1" a="1"/>
  <c r="C292" i="1" s="1"/>
  <c r="D292" i="1" s="1"/>
  <c r="B293" i="1"/>
  <c r="C293" i="1" s="1" a="1"/>
  <c r="C293" i="1" s="1"/>
  <c r="D293" i="1" s="1"/>
  <c r="B294" i="1"/>
  <c r="C294" i="1" s="1" a="1"/>
  <c r="C294" i="1" s="1"/>
  <c r="D294" i="1" s="1"/>
  <c r="B295" i="1"/>
  <c r="C295" i="1" s="1" a="1"/>
  <c r="C295" i="1" s="1"/>
  <c r="D295" i="1" s="1"/>
  <c r="B296" i="1"/>
  <c r="C296" i="1" s="1" a="1"/>
  <c r="C296" i="1" s="1"/>
  <c r="D296" i="1" s="1"/>
  <c r="B297" i="1"/>
  <c r="C297" i="1" s="1" a="1"/>
  <c r="C297" i="1" s="1"/>
  <c r="D297" i="1" s="1"/>
  <c r="B298" i="1"/>
  <c r="C298" i="1" s="1" a="1"/>
  <c r="C298" i="1" s="1"/>
  <c r="D298" i="1" s="1"/>
  <c r="B299" i="1"/>
  <c r="C299" i="1" s="1" a="1"/>
  <c r="C299" i="1" s="1"/>
  <c r="D299" i="1" s="1"/>
  <c r="B300" i="1"/>
  <c r="C300" i="1" s="1" a="1"/>
  <c r="C300" i="1" s="1"/>
  <c r="D300" i="1" s="1"/>
  <c r="B301" i="1"/>
  <c r="C301" i="1" s="1" a="1"/>
  <c r="C301" i="1" s="1"/>
  <c r="D301" i="1" s="1"/>
  <c r="B302" i="1"/>
  <c r="C302" i="1" s="1" a="1"/>
  <c r="C302" i="1" s="1"/>
  <c r="D302" i="1" s="1"/>
  <c r="B303" i="1"/>
  <c r="C303" i="1" s="1" a="1"/>
  <c r="C303" i="1" s="1"/>
  <c r="D303" i="1" s="1"/>
  <c r="B304" i="1"/>
  <c r="C304" i="1" s="1" a="1"/>
  <c r="C304" i="1" s="1"/>
  <c r="D304" i="1" s="1"/>
  <c r="B305" i="1"/>
  <c r="C305" i="1" s="1" a="1"/>
  <c r="C305" i="1" s="1"/>
  <c r="D305" i="1" s="1"/>
  <c r="B306" i="1"/>
  <c r="C306" i="1" s="1" a="1"/>
  <c r="C306" i="1" s="1"/>
  <c r="D306" i="1" s="1"/>
  <c r="B307" i="1"/>
  <c r="C307" i="1" s="1" a="1"/>
  <c r="C307" i="1" s="1"/>
  <c r="D307" i="1" s="1"/>
  <c r="B308" i="1"/>
  <c r="C308" i="1" s="1" a="1"/>
  <c r="C308" i="1" s="1"/>
  <c r="D308" i="1" s="1"/>
  <c r="B309" i="1"/>
  <c r="C309" i="1" s="1" a="1"/>
  <c r="C309" i="1" s="1"/>
  <c r="D309" i="1" s="1"/>
  <c r="B310" i="1"/>
  <c r="C310" i="1" s="1" a="1"/>
  <c r="C310" i="1" s="1"/>
  <c r="D310" i="1" s="1"/>
  <c r="B311" i="1"/>
  <c r="C311" i="1" s="1" a="1"/>
  <c r="C311" i="1" s="1"/>
  <c r="D311" i="1" s="1"/>
  <c r="B312" i="1"/>
  <c r="C312" i="1" s="1" a="1"/>
  <c r="C312" i="1" s="1"/>
  <c r="D312" i="1" s="1"/>
  <c r="B313" i="1"/>
  <c r="C313" i="1" s="1" a="1"/>
  <c r="C313" i="1" s="1"/>
  <c r="D313" i="1" s="1"/>
  <c r="B314" i="1"/>
  <c r="C314" i="1" s="1" a="1"/>
  <c r="C314" i="1" s="1"/>
  <c r="D314" i="1" s="1"/>
  <c r="B315" i="1"/>
  <c r="C315" i="1" s="1" a="1"/>
  <c r="C315" i="1" s="1"/>
  <c r="D315" i="1" s="1"/>
  <c r="B316" i="1"/>
  <c r="C316" i="1" s="1" a="1"/>
  <c r="C316" i="1" s="1"/>
  <c r="D316" i="1" s="1"/>
  <c r="B317" i="1"/>
  <c r="C317" i="1" s="1" a="1"/>
  <c r="C317" i="1" s="1"/>
  <c r="D317" i="1" s="1"/>
  <c r="B318" i="1"/>
  <c r="C318" i="1" s="1" a="1"/>
  <c r="C318" i="1" s="1"/>
  <c r="D318" i="1" s="1"/>
  <c r="B319" i="1"/>
  <c r="C319" i="1" s="1" a="1"/>
  <c r="C319" i="1" s="1"/>
  <c r="D319" i="1" s="1"/>
  <c r="B320" i="1"/>
  <c r="C320" i="1" s="1" a="1"/>
  <c r="C320" i="1" s="1"/>
  <c r="D320" i="1" s="1"/>
  <c r="B321" i="1"/>
  <c r="C321" i="1" s="1" a="1"/>
  <c r="C321" i="1" s="1"/>
  <c r="D321" i="1" s="1"/>
  <c r="B322" i="1"/>
  <c r="C322" i="1" s="1" a="1"/>
  <c r="C322" i="1" s="1"/>
  <c r="D322" i="1" s="1"/>
  <c r="B323" i="1"/>
  <c r="C323" i="1" s="1" a="1"/>
  <c r="C323" i="1" s="1"/>
  <c r="D323" i="1" s="1"/>
  <c r="B324" i="1"/>
  <c r="C324" i="1" s="1" a="1"/>
  <c r="C324" i="1" s="1"/>
  <c r="D324" i="1" s="1"/>
  <c r="B325" i="1"/>
  <c r="C325" i="1" s="1" a="1"/>
  <c r="C325" i="1" s="1"/>
  <c r="D325" i="1" s="1"/>
  <c r="B326" i="1"/>
  <c r="C326" i="1" s="1" a="1"/>
  <c r="C326" i="1" s="1"/>
  <c r="D326" i="1" s="1"/>
  <c r="B327" i="1"/>
  <c r="C327" i="1" s="1" a="1"/>
  <c r="C327" i="1" s="1"/>
  <c r="D327" i="1" s="1"/>
  <c r="B328" i="1"/>
  <c r="C328" i="1" s="1" a="1"/>
  <c r="C328" i="1" s="1"/>
  <c r="D328" i="1" s="1"/>
  <c r="B329" i="1"/>
  <c r="C329" i="1" s="1" a="1"/>
  <c r="C329" i="1" s="1"/>
  <c r="D329" i="1" s="1"/>
  <c r="B330" i="1"/>
  <c r="C330" i="1" s="1" a="1"/>
  <c r="C330" i="1" s="1"/>
  <c r="D330" i="1" s="1"/>
  <c r="B331" i="1"/>
  <c r="C331" i="1" s="1" a="1"/>
  <c r="C331" i="1" s="1"/>
  <c r="D331" i="1" s="1"/>
  <c r="B332" i="1"/>
  <c r="C332" i="1" s="1" a="1"/>
  <c r="C332" i="1" s="1"/>
  <c r="D332" i="1" s="1"/>
  <c r="B333" i="1"/>
  <c r="C333" i="1" s="1" a="1"/>
  <c r="C333" i="1" s="1"/>
  <c r="D333" i="1" s="1"/>
  <c r="B334" i="1"/>
  <c r="C334" i="1" s="1" a="1"/>
  <c r="C334" i="1" s="1"/>
  <c r="D334" i="1" s="1"/>
  <c r="B335" i="1"/>
  <c r="C335" i="1" s="1" a="1"/>
  <c r="C335" i="1" s="1"/>
  <c r="D335" i="1" s="1"/>
  <c r="B336" i="1"/>
  <c r="C336" i="1" s="1" a="1"/>
  <c r="C336" i="1" s="1"/>
  <c r="D336" i="1" s="1"/>
  <c r="B337" i="1"/>
  <c r="C337" i="1" s="1" a="1"/>
  <c r="C337" i="1" s="1"/>
  <c r="D337" i="1" s="1"/>
  <c r="B338" i="1"/>
  <c r="C338" i="1" s="1" a="1"/>
  <c r="C338" i="1" s="1"/>
  <c r="D338" i="1" s="1"/>
  <c r="B339" i="1"/>
  <c r="C339" i="1" s="1" a="1"/>
  <c r="C339" i="1" s="1"/>
  <c r="D339" i="1" s="1"/>
  <c r="B340" i="1"/>
  <c r="C340" i="1" s="1" a="1"/>
  <c r="C340" i="1" s="1"/>
  <c r="D340" i="1" s="1"/>
  <c r="B341" i="1"/>
  <c r="C341" i="1" s="1" a="1"/>
  <c r="C341" i="1" s="1"/>
  <c r="D341" i="1" s="1"/>
  <c r="B342" i="1"/>
  <c r="C342" i="1" s="1" a="1"/>
  <c r="C342" i="1" s="1"/>
  <c r="D342" i="1" s="1"/>
  <c r="B343" i="1"/>
  <c r="C343" i="1" s="1" a="1"/>
  <c r="C343" i="1" s="1"/>
  <c r="D343" i="1" s="1"/>
  <c r="B344" i="1"/>
  <c r="C344" i="1" s="1" a="1"/>
  <c r="C344" i="1" s="1"/>
  <c r="D344" i="1" s="1"/>
  <c r="B345" i="1"/>
  <c r="C345" i="1" s="1" a="1"/>
  <c r="C345" i="1" s="1"/>
  <c r="D345" i="1" s="1"/>
  <c r="B346" i="1"/>
  <c r="C346" i="1" s="1" a="1"/>
  <c r="C346" i="1" s="1"/>
  <c r="D346" i="1" s="1"/>
  <c r="B347" i="1"/>
  <c r="C347" i="1" s="1" a="1"/>
  <c r="C347" i="1" s="1"/>
  <c r="D347" i="1" s="1"/>
  <c r="B348" i="1"/>
  <c r="C348" i="1" s="1" a="1"/>
  <c r="C348" i="1" s="1"/>
  <c r="D348" i="1" s="1"/>
  <c r="B349" i="1"/>
  <c r="C349" i="1" s="1" a="1"/>
  <c r="C349" i="1" s="1"/>
  <c r="D349" i="1" s="1"/>
  <c r="B350" i="1"/>
  <c r="C350" i="1" s="1" a="1"/>
  <c r="C350" i="1" s="1"/>
  <c r="D350" i="1" s="1"/>
  <c r="B351" i="1"/>
  <c r="C351" i="1" s="1" a="1"/>
  <c r="C351" i="1" s="1"/>
  <c r="D351" i="1" s="1"/>
  <c r="B352" i="1"/>
  <c r="C352" i="1" s="1" a="1"/>
  <c r="C352" i="1" s="1"/>
  <c r="D352" i="1" s="1"/>
  <c r="B353" i="1"/>
  <c r="C353" i="1" s="1" a="1"/>
  <c r="C353" i="1" s="1"/>
  <c r="D353" i="1" s="1"/>
  <c r="B354" i="1"/>
  <c r="C354" i="1" s="1" a="1"/>
  <c r="C354" i="1" s="1"/>
  <c r="D354" i="1" s="1"/>
  <c r="B355" i="1"/>
  <c r="C355" i="1" s="1" a="1"/>
  <c r="C355" i="1" s="1"/>
  <c r="D355" i="1" s="1"/>
  <c r="B356" i="1"/>
  <c r="C356" i="1" s="1" a="1"/>
  <c r="C356" i="1" s="1"/>
  <c r="D356" i="1" s="1"/>
  <c r="B357" i="1"/>
  <c r="C357" i="1" s="1" a="1"/>
  <c r="C357" i="1" s="1"/>
  <c r="D357" i="1" s="1"/>
  <c r="B358" i="1"/>
  <c r="C358" i="1" s="1" a="1"/>
  <c r="C358" i="1" s="1"/>
  <c r="D358" i="1" s="1"/>
  <c r="B359" i="1"/>
  <c r="C359" i="1" s="1" a="1"/>
  <c r="C359" i="1" s="1"/>
  <c r="D359" i="1" s="1"/>
  <c r="B360" i="1"/>
  <c r="C360" i="1" s="1" a="1"/>
  <c r="C360" i="1" s="1"/>
  <c r="D360" i="1" s="1"/>
  <c r="B361" i="1"/>
  <c r="C361" i="1" s="1" a="1"/>
  <c r="C361" i="1" s="1"/>
  <c r="D361" i="1" s="1"/>
  <c r="B362" i="1"/>
  <c r="C362" i="1" s="1" a="1"/>
  <c r="C362" i="1" s="1"/>
  <c r="D362" i="1" s="1"/>
  <c r="B363" i="1"/>
  <c r="C363" i="1" s="1" a="1"/>
  <c r="C363" i="1" s="1"/>
  <c r="D363" i="1" s="1"/>
  <c r="B364" i="1"/>
  <c r="C364" i="1" s="1" a="1"/>
  <c r="C364" i="1" s="1"/>
  <c r="D364" i="1" s="1"/>
  <c r="B365" i="1"/>
  <c r="C365" i="1" s="1" a="1"/>
  <c r="C365" i="1" s="1"/>
  <c r="D365" i="1" s="1"/>
  <c r="B366" i="1"/>
  <c r="C366" i="1" s="1" a="1"/>
  <c r="C366" i="1" s="1"/>
  <c r="D366" i="1" s="1"/>
  <c r="B367" i="1"/>
  <c r="C367" i="1" s="1" a="1"/>
  <c r="C367" i="1" s="1"/>
  <c r="D367" i="1" s="1"/>
  <c r="B368" i="1"/>
  <c r="C368" i="1" s="1" a="1"/>
  <c r="C368" i="1" s="1"/>
  <c r="D368" i="1" s="1"/>
  <c r="B369" i="1"/>
  <c r="C369" i="1" s="1" a="1"/>
  <c r="C369" i="1" s="1"/>
  <c r="D369" i="1" s="1"/>
  <c r="B370" i="1"/>
  <c r="C370" i="1" s="1" a="1"/>
  <c r="C370" i="1" s="1"/>
  <c r="D370" i="1" s="1"/>
  <c r="B371" i="1"/>
  <c r="C371" i="1" s="1" a="1"/>
  <c r="C371" i="1" s="1"/>
  <c r="D371" i="1" s="1"/>
  <c r="B372" i="1"/>
  <c r="C372" i="1" s="1" a="1"/>
  <c r="C372" i="1" s="1"/>
  <c r="D372" i="1" s="1"/>
  <c r="B373" i="1"/>
  <c r="C373" i="1" s="1" a="1"/>
  <c r="C373" i="1" s="1"/>
  <c r="D373" i="1" s="1"/>
  <c r="B374" i="1"/>
  <c r="C374" i="1" s="1" a="1"/>
  <c r="C374" i="1" s="1"/>
  <c r="D374" i="1" s="1"/>
  <c r="B375" i="1"/>
  <c r="C375" i="1" s="1" a="1"/>
  <c r="C375" i="1" s="1"/>
  <c r="D375" i="1" s="1"/>
  <c r="B376" i="1"/>
  <c r="C376" i="1" s="1" a="1"/>
  <c r="C376" i="1" s="1"/>
  <c r="D376" i="1" s="1"/>
  <c r="B377" i="1"/>
  <c r="C377" i="1" s="1" a="1"/>
  <c r="C377" i="1" s="1"/>
  <c r="D377" i="1" s="1"/>
  <c r="B378" i="1"/>
  <c r="C378" i="1" s="1" a="1"/>
  <c r="C378" i="1" s="1"/>
  <c r="B379" i="1"/>
  <c r="C379" i="1" s="1" a="1"/>
  <c r="C379" i="1" s="1"/>
  <c r="D379" i="1" s="1"/>
  <c r="B380" i="1"/>
  <c r="C380" i="1" s="1" a="1"/>
  <c r="C380" i="1" s="1"/>
  <c r="D380" i="1" s="1"/>
  <c r="B381" i="1"/>
  <c r="C381" i="1" s="1" a="1"/>
  <c r="C381" i="1" s="1"/>
  <c r="D381" i="1" s="1"/>
  <c r="B3" i="1"/>
  <c r="C3" i="1" s="1" a="1"/>
  <c r="C3" i="1" s="1"/>
  <c r="D3" i="1" s="1"/>
  <c r="B4" i="1"/>
  <c r="C4" i="1" s="1" a="1"/>
  <c r="C4" i="1" s="1"/>
  <c r="D4" i="1" s="1"/>
  <c r="B5" i="1"/>
  <c r="C5" i="1" s="1" a="1"/>
  <c r="C5" i="1" s="1"/>
  <c r="D5" i="1" s="1"/>
  <c r="B6" i="1"/>
  <c r="C6" i="1" s="1" a="1"/>
  <c r="C6" i="1" s="1"/>
  <c r="D6" i="1" s="1"/>
  <c r="B7" i="1"/>
  <c r="C7" i="1" s="1" a="1"/>
  <c r="C7" i="1" s="1"/>
  <c r="D7" i="1" s="1"/>
  <c r="B8" i="1"/>
  <c r="C8" i="1" s="1" a="1"/>
  <c r="C8" i="1" s="1"/>
  <c r="D8" i="1" s="1"/>
  <c r="B9" i="1"/>
  <c r="C9" i="1" s="1" a="1"/>
  <c r="C9" i="1" s="1"/>
  <c r="D9" i="1" s="1"/>
  <c r="B10" i="1"/>
  <c r="C10" i="1" s="1" a="1"/>
  <c r="C10" i="1" s="1"/>
  <c r="D10" i="1" s="1"/>
  <c r="B2" i="1"/>
  <c r="C2" i="1" s="1" a="1"/>
  <c r="C2" i="1" s="1"/>
  <c r="D2" i="1" s="1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E7" i="5"/>
  <c r="F6" i="5" s="1"/>
  <c r="F7" i="5" s="1"/>
  <c r="G6" i="5" s="1"/>
  <c r="G7" i="5" s="1"/>
  <c r="H6" i="5" s="1"/>
  <c r="H7" i="5" s="1"/>
  <c r="I6" i="5" s="1"/>
  <c r="I7" i="5" s="1"/>
  <c r="J6" i="5" s="1"/>
  <c r="J7" i="5" s="1"/>
  <c r="K6" i="5" s="1"/>
  <c r="K7" i="5" s="1"/>
  <c r="L6" i="5" s="1"/>
  <c r="L7" i="5" s="1"/>
  <c r="M6" i="5" s="1"/>
  <c r="M7" i="5" s="1"/>
  <c r="N6" i="5" s="1"/>
  <c r="N7" i="5" s="1"/>
  <c r="O6" i="5" s="1"/>
  <c r="O7" i="5" s="1"/>
  <c r="P6" i="5" s="1"/>
  <c r="P7" i="5" s="1"/>
  <c r="Q6" i="5" s="1"/>
  <c r="Q7" i="5" s="1"/>
  <c r="R6" i="5" s="1"/>
  <c r="R7" i="5" s="1"/>
  <c r="S6" i="5" s="1"/>
  <c r="S7" i="5" s="1"/>
  <c r="T6" i="5" s="1"/>
  <c r="T7" i="5" s="1"/>
  <c r="U6" i="5" s="1"/>
  <c r="U7" i="5" s="1"/>
  <c r="V6" i="5" s="1"/>
  <c r="V7" i="5" s="1"/>
  <c r="W6" i="5" s="1"/>
  <c r="W7" i="5" s="1"/>
  <c r="W18" i="5" s="1"/>
  <c r="F5" i="5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V71" i="13" l="1"/>
  <c r="V70" i="13"/>
  <c r="V6" i="13"/>
  <c r="U7" i="13" s="1"/>
  <c r="V67" i="13"/>
  <c r="V66" i="13"/>
  <c r="V46" i="13"/>
  <c r="V58" i="13"/>
  <c r="V51" i="13"/>
  <c r="V42" i="13"/>
  <c r="V54" i="13"/>
  <c r="V35" i="13"/>
  <c r="V15" i="13"/>
  <c r="V50" i="13"/>
  <c r="V65" i="13"/>
  <c r="V59" i="13"/>
  <c r="V13" i="13"/>
  <c r="V49" i="13"/>
  <c r="V52" i="13"/>
  <c r="V41" i="13"/>
  <c r="V44" i="13"/>
  <c r="V36" i="13"/>
  <c r="V53" i="13"/>
  <c r="V78" i="13"/>
  <c r="V56" i="13"/>
  <c r="V57" i="13"/>
  <c r="V68" i="13"/>
  <c r="W24" i="5"/>
  <c r="T18" i="5"/>
  <c r="V25" i="5"/>
  <c r="V24" i="5"/>
  <c r="W25" i="5"/>
  <c r="S18" i="5"/>
  <c r="U25" i="5"/>
  <c r="U24" i="5"/>
  <c r="U18" i="5"/>
  <c r="R18" i="5"/>
  <c r="T25" i="5"/>
  <c r="T24" i="5"/>
  <c r="Q18" i="5"/>
  <c r="S25" i="5"/>
  <c r="S24" i="5"/>
  <c r="R25" i="5"/>
  <c r="O18" i="5"/>
  <c r="Q25" i="5"/>
  <c r="Q24" i="5"/>
  <c r="N18" i="5"/>
  <c r="P25" i="5"/>
  <c r="P24" i="5"/>
  <c r="R24" i="5"/>
  <c r="M18" i="5"/>
  <c r="O25" i="5"/>
  <c r="O24" i="5"/>
  <c r="K18" i="5"/>
  <c r="L18" i="5"/>
  <c r="N25" i="5"/>
  <c r="N24" i="5"/>
  <c r="P18" i="5"/>
  <c r="K24" i="5"/>
  <c r="M25" i="5"/>
  <c r="M24" i="5"/>
  <c r="V18" i="5"/>
  <c r="K25" i="5"/>
  <c r="L25" i="5"/>
  <c r="L24" i="5"/>
  <c r="D378" i="1"/>
  <c r="L21" i="5"/>
  <c r="U21" i="5"/>
  <c r="S21" i="5"/>
  <c r="M21" i="5"/>
  <c r="N21" i="5"/>
  <c r="K21" i="5"/>
  <c r="W21" i="5"/>
  <c r="V38" i="13" l="1"/>
  <c r="U71" i="13"/>
  <c r="U50" i="13"/>
  <c r="U49" i="13"/>
  <c r="U46" i="13"/>
  <c r="U13" i="13"/>
  <c r="U41" i="13"/>
  <c r="U53" i="13"/>
  <c r="U42" i="13"/>
  <c r="U56" i="13"/>
  <c r="U66" i="13"/>
  <c r="U78" i="13"/>
  <c r="U58" i="13"/>
  <c r="U6" i="13"/>
  <c r="T7" i="13" s="1"/>
  <c r="U59" i="13"/>
  <c r="U15" i="13"/>
  <c r="U80" i="13" s="1"/>
  <c r="U67" i="13"/>
  <c r="U51" i="13"/>
  <c r="U57" i="13"/>
  <c r="U35" i="13"/>
  <c r="U36" i="13"/>
  <c r="U70" i="13"/>
  <c r="U65" i="13"/>
  <c r="U68" i="13"/>
  <c r="U44" i="13"/>
  <c r="U52" i="13"/>
  <c r="U54" i="13"/>
  <c r="R21" i="5"/>
  <c r="P21" i="5"/>
  <c r="O21" i="5"/>
  <c r="V21" i="5"/>
  <c r="T21" i="5"/>
  <c r="Q21" i="5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2" i="1"/>
  <c r="U38" i="13" l="1"/>
  <c r="T68" i="13"/>
  <c r="T53" i="13"/>
  <c r="T13" i="13"/>
  <c r="T6" i="13"/>
  <c r="S7" i="13" s="1"/>
  <c r="T70" i="13"/>
  <c r="T50" i="13"/>
  <c r="T52" i="13"/>
  <c r="T58" i="13"/>
  <c r="T54" i="13"/>
  <c r="T44" i="13"/>
  <c r="T15" i="13"/>
  <c r="T80" i="13" s="1"/>
  <c r="T46" i="13"/>
  <c r="T42" i="13"/>
  <c r="T41" i="13"/>
  <c r="T78" i="13"/>
  <c r="T49" i="13"/>
  <c r="T56" i="13"/>
  <c r="T71" i="13"/>
  <c r="T67" i="13"/>
  <c r="T36" i="13"/>
  <c r="T66" i="13"/>
  <c r="T51" i="13"/>
  <c r="T59" i="13"/>
  <c r="T35" i="13"/>
  <c r="T57" i="13"/>
  <c r="T65" i="13"/>
  <c r="E37" i="15"/>
  <c r="E35" i="15"/>
  <c r="E39" i="15"/>
  <c r="E25" i="15"/>
  <c r="F37" i="15"/>
  <c r="F26" i="15"/>
  <c r="E49" i="15"/>
  <c r="F55" i="15"/>
  <c r="E36" i="15"/>
  <c r="E19" i="15"/>
  <c r="E28" i="15"/>
  <c r="F42" i="15"/>
  <c r="E51" i="15"/>
  <c r="E38" i="15"/>
  <c r="E50" i="15"/>
  <c r="F54" i="15"/>
  <c r="F40" i="15"/>
  <c r="E29" i="15"/>
  <c r="F48" i="15"/>
  <c r="E41" i="15"/>
  <c r="E26" i="15"/>
  <c r="F33" i="15"/>
  <c r="E52" i="15"/>
  <c r="F30" i="15"/>
  <c r="F25" i="15"/>
  <c r="E53" i="15"/>
  <c r="E32" i="15"/>
  <c r="F41" i="15"/>
  <c r="E33" i="15"/>
  <c r="E31" i="15"/>
  <c r="F18" i="15"/>
  <c r="F38" i="15"/>
  <c r="E55" i="15"/>
  <c r="F24" i="15"/>
  <c r="F19" i="15"/>
  <c r="E42" i="15"/>
  <c r="E24" i="15"/>
  <c r="F31" i="15"/>
  <c r="F52" i="15"/>
  <c r="F36" i="15"/>
  <c r="E18" i="15"/>
  <c r="F35" i="15"/>
  <c r="F39" i="15"/>
  <c r="F43" i="15"/>
  <c r="F50" i="15"/>
  <c r="F34" i="15"/>
  <c r="E30" i="15"/>
  <c r="F32" i="15"/>
  <c r="E34" i="15"/>
  <c r="E43" i="15"/>
  <c r="F29" i="15"/>
  <c r="F51" i="15"/>
  <c r="E40" i="15"/>
  <c r="E48" i="15"/>
  <c r="F53" i="15"/>
  <c r="F27" i="15"/>
  <c r="E27" i="15"/>
  <c r="E54" i="15"/>
  <c r="F28" i="15"/>
  <c r="F49" i="15"/>
  <c r="G26" i="15"/>
  <c r="G41" i="15"/>
  <c r="G29" i="15"/>
  <c r="G52" i="15"/>
  <c r="G34" i="15"/>
  <c r="G55" i="15"/>
  <c r="G27" i="15"/>
  <c r="G19" i="15"/>
  <c r="G53" i="15"/>
  <c r="G37" i="15"/>
  <c r="G43" i="15"/>
  <c r="G50" i="15"/>
  <c r="G32" i="15"/>
  <c r="G42" i="15"/>
  <c r="G38" i="15"/>
  <c r="G48" i="15"/>
  <c r="G40" i="15"/>
  <c r="G49" i="15"/>
  <c r="G39" i="15"/>
  <c r="G36" i="15"/>
  <c r="G54" i="15"/>
  <c r="G25" i="15"/>
  <c r="G35" i="15"/>
  <c r="G51" i="15"/>
  <c r="G30" i="15"/>
  <c r="G24" i="15"/>
  <c r="G33" i="15"/>
  <c r="G18" i="15"/>
  <c r="G21" i="15" s="1"/>
  <c r="G28" i="15"/>
  <c r="G31" i="15"/>
  <c r="H42" i="15"/>
  <c r="H54" i="15"/>
  <c r="H55" i="15"/>
  <c r="H32" i="15"/>
  <c r="H31" i="15"/>
  <c r="H33" i="15"/>
  <c r="H40" i="15"/>
  <c r="H30" i="15"/>
  <c r="H27" i="15"/>
  <c r="H41" i="15"/>
  <c r="H24" i="15"/>
  <c r="H52" i="15"/>
  <c r="H25" i="15"/>
  <c r="H38" i="15"/>
  <c r="H53" i="15"/>
  <c r="H35" i="15"/>
  <c r="H50" i="15"/>
  <c r="H29" i="15"/>
  <c r="H39" i="15"/>
  <c r="H48" i="15"/>
  <c r="H36" i="15"/>
  <c r="H18" i="15"/>
  <c r="H51" i="15"/>
  <c r="H28" i="15"/>
  <c r="H34" i="15"/>
  <c r="H37" i="15"/>
  <c r="H26" i="15"/>
  <c r="H19" i="15"/>
  <c r="H43" i="15"/>
  <c r="H49" i="15"/>
  <c r="I38" i="15"/>
  <c r="I48" i="15"/>
  <c r="I29" i="15"/>
  <c r="I24" i="15"/>
  <c r="I36" i="15"/>
  <c r="I27" i="15"/>
  <c r="I35" i="15"/>
  <c r="I34" i="15"/>
  <c r="I53" i="15"/>
  <c r="I49" i="15"/>
  <c r="I30" i="15"/>
  <c r="I52" i="15"/>
  <c r="I26" i="15"/>
  <c r="I32" i="15"/>
  <c r="I42" i="15"/>
  <c r="I43" i="15"/>
  <c r="I28" i="15"/>
  <c r="I18" i="15"/>
  <c r="I41" i="15"/>
  <c r="I19" i="15"/>
  <c r="I25" i="15"/>
  <c r="I51" i="15"/>
  <c r="I39" i="15"/>
  <c r="I54" i="15"/>
  <c r="I55" i="15"/>
  <c r="I40" i="15"/>
  <c r="I37" i="15"/>
  <c r="I33" i="15"/>
  <c r="I50" i="15"/>
  <c r="I31" i="15"/>
  <c r="H55" i="5"/>
  <c r="F53" i="5"/>
  <c r="I50" i="5"/>
  <c r="G48" i="5"/>
  <c r="E42" i="5"/>
  <c r="H39" i="5"/>
  <c r="F37" i="5"/>
  <c r="I34" i="5"/>
  <c r="G32" i="5"/>
  <c r="E30" i="5"/>
  <c r="H27" i="5"/>
  <c r="F25" i="5"/>
  <c r="F18" i="5"/>
  <c r="E54" i="5"/>
  <c r="G40" i="5"/>
  <c r="I30" i="5"/>
  <c r="G55" i="5"/>
  <c r="E53" i="5"/>
  <c r="H50" i="5"/>
  <c r="F48" i="5"/>
  <c r="I41" i="5"/>
  <c r="G39" i="5"/>
  <c r="E37" i="5"/>
  <c r="H34" i="5"/>
  <c r="F32" i="5"/>
  <c r="I29" i="5"/>
  <c r="G27" i="5"/>
  <c r="E25" i="5"/>
  <c r="G18" i="5"/>
  <c r="F55" i="5"/>
  <c r="I52" i="5"/>
  <c r="G50" i="5"/>
  <c r="E48" i="5"/>
  <c r="H41" i="5"/>
  <c r="F39" i="5"/>
  <c r="I36" i="5"/>
  <c r="G34" i="5"/>
  <c r="E32" i="5"/>
  <c r="H29" i="5"/>
  <c r="F27" i="5"/>
  <c r="I24" i="5"/>
  <c r="H18" i="5"/>
  <c r="E55" i="5"/>
  <c r="H52" i="5"/>
  <c r="F50" i="5"/>
  <c r="I43" i="5"/>
  <c r="G41" i="5"/>
  <c r="E39" i="5"/>
  <c r="H36" i="5"/>
  <c r="F34" i="5"/>
  <c r="I31" i="5"/>
  <c r="G29" i="5"/>
  <c r="E27" i="5"/>
  <c r="H24" i="5"/>
  <c r="I18" i="5"/>
  <c r="I54" i="5"/>
  <c r="G52" i="5"/>
  <c r="E50" i="5"/>
  <c r="H43" i="5"/>
  <c r="F41" i="5"/>
  <c r="I38" i="5"/>
  <c r="G36" i="5"/>
  <c r="E34" i="5"/>
  <c r="H31" i="5"/>
  <c r="F29" i="5"/>
  <c r="I26" i="5"/>
  <c r="G24" i="5"/>
  <c r="E18" i="5"/>
  <c r="H54" i="5"/>
  <c r="F52" i="5"/>
  <c r="I49" i="5"/>
  <c r="G43" i="5"/>
  <c r="E41" i="5"/>
  <c r="H38" i="5"/>
  <c r="F36" i="5"/>
  <c r="I33" i="5"/>
  <c r="G31" i="5"/>
  <c r="E29" i="5"/>
  <c r="H26" i="5"/>
  <c r="F24" i="5"/>
  <c r="G54" i="5"/>
  <c r="E52" i="5"/>
  <c r="H49" i="5"/>
  <c r="F43" i="5"/>
  <c r="I40" i="5"/>
  <c r="G38" i="5"/>
  <c r="E36" i="5"/>
  <c r="H33" i="5"/>
  <c r="F31" i="5"/>
  <c r="I28" i="5"/>
  <c r="G26" i="5"/>
  <c r="E24" i="5"/>
  <c r="F49" i="5"/>
  <c r="H35" i="5"/>
  <c r="F19" i="5"/>
  <c r="F54" i="5"/>
  <c r="I51" i="5"/>
  <c r="G49" i="5"/>
  <c r="E43" i="5"/>
  <c r="H40" i="5"/>
  <c r="F38" i="5"/>
  <c r="I35" i="5"/>
  <c r="G33" i="5"/>
  <c r="E31" i="5"/>
  <c r="H28" i="5"/>
  <c r="F26" i="5"/>
  <c r="E19" i="5"/>
  <c r="H51" i="5"/>
  <c r="E38" i="5"/>
  <c r="G28" i="5"/>
  <c r="I55" i="5"/>
  <c r="G53" i="5"/>
  <c r="E51" i="5"/>
  <c r="H48" i="5"/>
  <c r="F42" i="5"/>
  <c r="I39" i="5"/>
  <c r="G37" i="5"/>
  <c r="E35" i="5"/>
  <c r="H32" i="5"/>
  <c r="F30" i="5"/>
  <c r="I27" i="5"/>
  <c r="G25" i="5"/>
  <c r="I19" i="5"/>
  <c r="I42" i="5"/>
  <c r="H53" i="5"/>
  <c r="F35" i="5"/>
  <c r="H19" i="5"/>
  <c r="G51" i="5"/>
  <c r="F33" i="5"/>
  <c r="F51" i="5"/>
  <c r="E33" i="5"/>
  <c r="E49" i="5"/>
  <c r="I32" i="5"/>
  <c r="I48" i="5"/>
  <c r="H30" i="5"/>
  <c r="H42" i="5"/>
  <c r="G30" i="5"/>
  <c r="G42" i="5"/>
  <c r="F28" i="5"/>
  <c r="F40" i="5"/>
  <c r="E28" i="5"/>
  <c r="H25" i="5"/>
  <c r="E40" i="5"/>
  <c r="E26" i="5"/>
  <c r="I37" i="5"/>
  <c r="I25" i="5"/>
  <c r="H37" i="5"/>
  <c r="I53" i="5"/>
  <c r="G35" i="5"/>
  <c r="G19" i="5"/>
  <c r="J27" i="15"/>
  <c r="J53" i="15"/>
  <c r="J24" i="15"/>
  <c r="J29" i="5"/>
  <c r="J36" i="5"/>
  <c r="J37" i="5"/>
  <c r="J55" i="15"/>
  <c r="J30" i="15"/>
  <c r="J55" i="5"/>
  <c r="J27" i="5"/>
  <c r="J34" i="5"/>
  <c r="J40" i="5"/>
  <c r="J49" i="15"/>
  <c r="J36" i="15"/>
  <c r="J53" i="5"/>
  <c r="J25" i="5"/>
  <c r="J32" i="5"/>
  <c r="J40" i="15"/>
  <c r="J51" i="15"/>
  <c r="J37" i="15"/>
  <c r="J51" i="5"/>
  <c r="J30" i="5"/>
  <c r="J48" i="5"/>
  <c r="J43" i="15"/>
  <c r="J18" i="15"/>
  <c r="J49" i="5"/>
  <c r="J19" i="5"/>
  <c r="J28" i="5"/>
  <c r="J50" i="15"/>
  <c r="J42" i="15"/>
  <c r="J35" i="15"/>
  <c r="J43" i="5"/>
  <c r="J54" i="5"/>
  <c r="J26" i="5"/>
  <c r="J25" i="15"/>
  <c r="J26" i="15"/>
  <c r="J41" i="5"/>
  <c r="J52" i="5"/>
  <c r="J24" i="5"/>
  <c r="J48" i="15"/>
  <c r="J29" i="15"/>
  <c r="J39" i="15"/>
  <c r="J31" i="15"/>
  <c r="J41" i="15"/>
  <c r="J33" i="15"/>
  <c r="J39" i="5"/>
  <c r="J50" i="5"/>
  <c r="J18" i="5"/>
  <c r="J33" i="5"/>
  <c r="J32" i="15"/>
  <c r="J34" i="15"/>
  <c r="J52" i="15"/>
  <c r="J35" i="5"/>
  <c r="J42" i="5"/>
  <c r="J19" i="15"/>
  <c r="J28" i="15"/>
  <c r="J54" i="15"/>
  <c r="J38" i="15"/>
  <c r="J31" i="5"/>
  <c r="J38" i="5"/>
  <c r="T38" i="13" l="1"/>
  <c r="S6" i="13"/>
  <c r="R7" i="13" s="1"/>
  <c r="S49" i="13"/>
  <c r="S68" i="13"/>
  <c r="S36" i="13"/>
  <c r="S70" i="13"/>
  <c r="S66" i="13"/>
  <c r="S57" i="13"/>
  <c r="S13" i="13"/>
  <c r="S52" i="13"/>
  <c r="S42" i="13"/>
  <c r="S71" i="13"/>
  <c r="S53" i="13"/>
  <c r="S59" i="13"/>
  <c r="S78" i="13"/>
  <c r="S35" i="13"/>
  <c r="S65" i="13"/>
  <c r="S41" i="13"/>
  <c r="S67" i="13"/>
  <c r="S54" i="13"/>
  <c r="S56" i="13"/>
  <c r="S58" i="13"/>
  <c r="S51" i="13"/>
  <c r="S15" i="13"/>
  <c r="S80" i="13" s="1"/>
  <c r="S46" i="13"/>
  <c r="S50" i="13"/>
  <c r="S44" i="13"/>
  <c r="E21" i="15"/>
  <c r="H21" i="15"/>
  <c r="I21" i="15"/>
  <c r="J21" i="15"/>
  <c r="J21" i="5"/>
  <c r="H57" i="5"/>
  <c r="H45" i="5"/>
  <c r="H21" i="5"/>
  <c r="L52" i="15"/>
  <c r="M52" i="15" s="1"/>
  <c r="N52" i="15" s="1"/>
  <c r="G57" i="5"/>
  <c r="F45" i="15"/>
  <c r="K43" i="5"/>
  <c r="I57" i="5"/>
  <c r="J57" i="5"/>
  <c r="I45" i="5"/>
  <c r="K38" i="5"/>
  <c r="F21" i="5"/>
  <c r="F21" i="15"/>
  <c r="F57" i="15"/>
  <c r="K26" i="5"/>
  <c r="L43" i="5"/>
  <c r="M43" i="5" s="1"/>
  <c r="E57" i="15"/>
  <c r="H45" i="15"/>
  <c r="J57" i="15"/>
  <c r="K52" i="5"/>
  <c r="L52" i="5" s="1"/>
  <c r="K30" i="5"/>
  <c r="I45" i="15"/>
  <c r="G57" i="15"/>
  <c r="G21" i="5"/>
  <c r="J45" i="5"/>
  <c r="J45" i="15"/>
  <c r="K28" i="5"/>
  <c r="E57" i="5"/>
  <c r="K31" i="5"/>
  <c r="E45" i="5"/>
  <c r="F45" i="5"/>
  <c r="E21" i="5"/>
  <c r="F57" i="5"/>
  <c r="I57" i="15"/>
  <c r="H57" i="15"/>
  <c r="G45" i="15"/>
  <c r="L43" i="15"/>
  <c r="G45" i="5"/>
  <c r="I21" i="5"/>
  <c r="K55" i="5"/>
  <c r="E45" i="15"/>
  <c r="S38" i="13" l="1"/>
  <c r="E59" i="15"/>
  <c r="E11" i="15" s="1"/>
  <c r="E12" i="15" s="1"/>
  <c r="R6" i="13"/>
  <c r="Q7" i="13" s="1"/>
  <c r="R56" i="13"/>
  <c r="R50" i="13"/>
  <c r="R59" i="13"/>
  <c r="R46" i="13"/>
  <c r="R52" i="13"/>
  <c r="R44" i="13"/>
  <c r="R15" i="13"/>
  <c r="R80" i="13" s="1"/>
  <c r="R54" i="13"/>
  <c r="R35" i="13"/>
  <c r="R70" i="13"/>
  <c r="R36" i="13"/>
  <c r="R68" i="13"/>
  <c r="R78" i="13"/>
  <c r="R42" i="13"/>
  <c r="R13" i="13"/>
  <c r="R57" i="13"/>
  <c r="R66" i="13"/>
  <c r="R58" i="13"/>
  <c r="R65" i="13"/>
  <c r="R49" i="13"/>
  <c r="R67" i="13"/>
  <c r="R71" i="13"/>
  <c r="R53" i="13"/>
  <c r="R41" i="13"/>
  <c r="R51" i="13"/>
  <c r="G59" i="15"/>
  <c r="G11" i="15" s="1"/>
  <c r="L28" i="5"/>
  <c r="H59" i="15"/>
  <c r="H11" i="15" s="1"/>
  <c r="E59" i="5"/>
  <c r="E11" i="5" s="1"/>
  <c r="E12" i="5" s="1"/>
  <c r="E14" i="5" s="1"/>
  <c r="I59" i="15"/>
  <c r="I11" i="15" s="1"/>
  <c r="G59" i="5"/>
  <c r="G11" i="5" s="1"/>
  <c r="K57" i="15"/>
  <c r="L55" i="15"/>
  <c r="L55" i="5"/>
  <c r="M55" i="5" s="1"/>
  <c r="H59" i="5"/>
  <c r="H11" i="5" s="1"/>
  <c r="M52" i="5"/>
  <c r="N52" i="5" s="1"/>
  <c r="F59" i="15"/>
  <c r="F11" i="15" s="1"/>
  <c r="L28" i="15"/>
  <c r="M28" i="15" s="1"/>
  <c r="L31" i="15"/>
  <c r="L26" i="5"/>
  <c r="K45" i="5"/>
  <c r="J59" i="15"/>
  <c r="J11" i="15" s="1"/>
  <c r="M28" i="5"/>
  <c r="N28" i="5" s="1"/>
  <c r="O52" i="15"/>
  <c r="F10" i="15"/>
  <c r="E14" i="15"/>
  <c r="M43" i="15"/>
  <c r="N43" i="15" s="1"/>
  <c r="J59" i="5"/>
  <c r="J11" i="5" s="1"/>
  <c r="L30" i="15"/>
  <c r="F59" i="5"/>
  <c r="F11" i="5" s="1"/>
  <c r="L38" i="15"/>
  <c r="F10" i="5"/>
  <c r="N43" i="5"/>
  <c r="I59" i="5"/>
  <c r="I11" i="5" s="1"/>
  <c r="K57" i="5"/>
  <c r="L26" i="15"/>
  <c r="K45" i="15"/>
  <c r="L38" i="5"/>
  <c r="L31" i="5"/>
  <c r="L30" i="5"/>
  <c r="Q6" i="13" l="1"/>
  <c r="P7" i="13" s="1"/>
  <c r="Q65" i="13"/>
  <c r="Q41" i="13"/>
  <c r="Q78" i="13"/>
  <c r="Q50" i="13"/>
  <c r="Q59" i="13"/>
  <c r="Q58" i="13"/>
  <c r="Q53" i="13"/>
  <c r="Q71" i="13"/>
  <c r="Q49" i="13"/>
  <c r="Q56" i="13"/>
  <c r="Q54" i="13"/>
  <c r="Q68" i="13"/>
  <c r="Q46" i="13"/>
  <c r="Q70" i="13"/>
  <c r="Q36" i="13"/>
  <c r="Q66" i="13"/>
  <c r="Q44" i="13"/>
  <c r="Q42" i="13"/>
  <c r="Q13" i="13"/>
  <c r="Q35" i="13"/>
  <c r="Q15" i="13"/>
  <c r="Q80" i="13" s="1"/>
  <c r="Q52" i="13"/>
  <c r="Q57" i="13"/>
  <c r="Q67" i="13"/>
  <c r="Q51" i="13"/>
  <c r="R38" i="13"/>
  <c r="K59" i="15"/>
  <c r="K11" i="15" s="1"/>
  <c r="L57" i="5"/>
  <c r="F12" i="5"/>
  <c r="N55" i="5"/>
  <c r="O55" i="5" s="1"/>
  <c r="F12" i="15"/>
  <c r="G10" i="15" s="1"/>
  <c r="G12" i="15" s="1"/>
  <c r="L57" i="15"/>
  <c r="M55" i="15"/>
  <c r="M57" i="15" s="1"/>
  <c r="O43" i="15"/>
  <c r="P43" i="15" s="1"/>
  <c r="Q43" i="15" s="1"/>
  <c r="O43" i="5"/>
  <c r="P43" i="5" s="1"/>
  <c r="L45" i="5"/>
  <c r="L59" i="5" s="1"/>
  <c r="L11" i="5" s="1"/>
  <c r="M26" i="5"/>
  <c r="N26" i="5" s="1"/>
  <c r="N57" i="5"/>
  <c r="M30" i="15"/>
  <c r="M31" i="15"/>
  <c r="O52" i="5"/>
  <c r="P52" i="5" s="1"/>
  <c r="L45" i="15"/>
  <c r="M38" i="15"/>
  <c r="N38" i="15" s="1"/>
  <c r="M57" i="5"/>
  <c r="M31" i="5"/>
  <c r="M26" i="15"/>
  <c r="N26" i="15" s="1"/>
  <c r="N28" i="15"/>
  <c r="P52" i="15"/>
  <c r="M30" i="5"/>
  <c r="M38" i="5"/>
  <c r="G10" i="5"/>
  <c r="G12" i="5" s="1"/>
  <c r="F14" i="5"/>
  <c r="O28" i="5"/>
  <c r="K59" i="5"/>
  <c r="K11" i="5" s="1"/>
  <c r="Q38" i="13" l="1"/>
  <c r="P6" i="13"/>
  <c r="O7" i="13" s="1"/>
  <c r="P46" i="13"/>
  <c r="P13" i="13"/>
  <c r="P66" i="13"/>
  <c r="P50" i="13"/>
  <c r="P56" i="13"/>
  <c r="P52" i="13"/>
  <c r="P15" i="13"/>
  <c r="P80" i="13" s="1"/>
  <c r="P44" i="13"/>
  <c r="P49" i="13"/>
  <c r="P67" i="13"/>
  <c r="P70" i="13"/>
  <c r="P59" i="13"/>
  <c r="P71" i="13"/>
  <c r="P51" i="13"/>
  <c r="P78" i="13"/>
  <c r="P35" i="13"/>
  <c r="P57" i="13"/>
  <c r="P54" i="13"/>
  <c r="P53" i="13"/>
  <c r="P68" i="13"/>
  <c r="P42" i="13"/>
  <c r="P58" i="13"/>
  <c r="P65" i="13"/>
  <c r="P41" i="13"/>
  <c r="P36" i="13"/>
  <c r="L59" i="15"/>
  <c r="L11" i="15" s="1"/>
  <c r="F14" i="15"/>
  <c r="Q43" i="5"/>
  <c r="P55" i="5"/>
  <c r="Q55" i="5" s="1"/>
  <c r="N55" i="15"/>
  <c r="O55" i="15" s="1"/>
  <c r="O26" i="15"/>
  <c r="O57" i="5"/>
  <c r="R43" i="15"/>
  <c r="Q52" i="5"/>
  <c r="R52" i="5" s="1"/>
  <c r="G14" i="15"/>
  <c r="H10" i="15"/>
  <c r="H12" i="15" s="1"/>
  <c r="O38" i="15"/>
  <c r="P38" i="15" s="1"/>
  <c r="Q38" i="15" s="1"/>
  <c r="M45" i="5"/>
  <c r="M59" i="5" s="1"/>
  <c r="M11" i="5" s="1"/>
  <c r="O26" i="5"/>
  <c r="P26" i="5" s="1"/>
  <c r="H10" i="5"/>
  <c r="H12" i="5" s="1"/>
  <c r="G14" i="5"/>
  <c r="N30" i="5"/>
  <c r="P28" i="5"/>
  <c r="N31" i="5"/>
  <c r="N31" i="15"/>
  <c r="Q52" i="15"/>
  <c r="O28" i="15"/>
  <c r="P28" i="15" s="1"/>
  <c r="Q28" i="15" s="1"/>
  <c r="N38" i="5"/>
  <c r="N30" i="15"/>
  <c r="O30" i="15" s="1"/>
  <c r="P30" i="15" s="1"/>
  <c r="M45" i="15"/>
  <c r="M59" i="15" s="1"/>
  <c r="M11" i="15" s="1"/>
  <c r="S43" i="15" l="1"/>
  <c r="Q60" i="13" s="1"/>
  <c r="P60" i="13"/>
  <c r="O60" i="13"/>
  <c r="O78" i="13"/>
  <c r="O36" i="13"/>
  <c r="O56" i="13"/>
  <c r="O59" i="13"/>
  <c r="O69" i="13"/>
  <c r="O53" i="13"/>
  <c r="O65" i="13"/>
  <c r="O13" i="13"/>
  <c r="O68" i="13"/>
  <c r="O6" i="13"/>
  <c r="N7" i="13" s="1"/>
  <c r="O41" i="13"/>
  <c r="O49" i="13"/>
  <c r="O44" i="13"/>
  <c r="O66" i="13"/>
  <c r="O52" i="13"/>
  <c r="O57" i="13"/>
  <c r="O67" i="13"/>
  <c r="O54" i="13"/>
  <c r="O45" i="13"/>
  <c r="O51" i="13"/>
  <c r="O58" i="13"/>
  <c r="O15" i="13"/>
  <c r="O80" i="13" s="1"/>
  <c r="O55" i="13"/>
  <c r="O46" i="13"/>
  <c r="O42" i="13"/>
  <c r="O50" i="13"/>
  <c r="O70" i="13"/>
  <c r="O35" i="13"/>
  <c r="O38" i="13" s="1"/>
  <c r="O71" i="13"/>
  <c r="P38" i="13"/>
  <c r="T43" i="15"/>
  <c r="P57" i="5"/>
  <c r="R43" i="5"/>
  <c r="S43" i="5" s="1"/>
  <c r="R55" i="5"/>
  <c r="S55" i="5" s="1"/>
  <c r="N57" i="15"/>
  <c r="P55" i="15"/>
  <c r="P57" i="15" s="1"/>
  <c r="O57" i="15"/>
  <c r="Q26" i="5"/>
  <c r="Q55" i="15"/>
  <c r="Q57" i="15" s="1"/>
  <c r="R28" i="15"/>
  <c r="O31" i="5"/>
  <c r="I10" i="5"/>
  <c r="I12" i="5" s="1"/>
  <c r="H14" i="5"/>
  <c r="I10" i="15"/>
  <c r="I12" i="15" s="1"/>
  <c r="H14" i="15"/>
  <c r="Q30" i="15"/>
  <c r="R30" i="15" s="1"/>
  <c r="O31" i="15"/>
  <c r="O45" i="15" s="1"/>
  <c r="O59" i="15" s="1"/>
  <c r="O11" i="15" s="1"/>
  <c r="N45" i="15"/>
  <c r="N59" i="15" s="1"/>
  <c r="N11" i="15" s="1"/>
  <c r="N45" i="5"/>
  <c r="N59" i="5" s="1"/>
  <c r="N11" i="5" s="1"/>
  <c r="P26" i="15"/>
  <c r="Q28" i="5"/>
  <c r="S52" i="5"/>
  <c r="T52" i="5" s="1"/>
  <c r="R57" i="5"/>
  <c r="R38" i="15"/>
  <c r="Q57" i="5"/>
  <c r="O38" i="5"/>
  <c r="O30" i="5"/>
  <c r="R52" i="15"/>
  <c r="O72" i="13" l="1"/>
  <c r="O74" i="13" s="1"/>
  <c r="N43" i="13"/>
  <c r="N59" i="13"/>
  <c r="N15" i="13"/>
  <c r="N80" i="13" s="1"/>
  <c r="N60" i="13"/>
  <c r="N72" i="13"/>
  <c r="N6" i="13"/>
  <c r="M7" i="13" s="1"/>
  <c r="N46" i="13"/>
  <c r="N50" i="13"/>
  <c r="N47" i="13"/>
  <c r="N41" i="13"/>
  <c r="N58" i="13"/>
  <c r="N13" i="13"/>
  <c r="N68" i="13"/>
  <c r="N69" i="13"/>
  <c r="N54" i="13"/>
  <c r="N65" i="13"/>
  <c r="N67" i="13"/>
  <c r="N52" i="13"/>
  <c r="N53" i="13"/>
  <c r="N44" i="13"/>
  <c r="N42" i="13"/>
  <c r="N35" i="13"/>
  <c r="N70" i="13"/>
  <c r="N36" i="13"/>
  <c r="N57" i="13"/>
  <c r="N55" i="13"/>
  <c r="N66" i="13"/>
  <c r="N56" i="13"/>
  <c r="N45" i="13"/>
  <c r="N49" i="13"/>
  <c r="N78" i="13"/>
  <c r="N71" i="13"/>
  <c r="N51" i="13"/>
  <c r="S38" i="15"/>
  <c r="Q55" i="13" s="1"/>
  <c r="P55" i="13"/>
  <c r="P47" i="13"/>
  <c r="U43" i="15"/>
  <c r="R60" i="13"/>
  <c r="S28" i="15"/>
  <c r="Q45" i="13" s="1"/>
  <c r="P45" i="13"/>
  <c r="P69" i="13"/>
  <c r="O47" i="13"/>
  <c r="R26" i="5"/>
  <c r="T55" i="5"/>
  <c r="T57" i="5" s="1"/>
  <c r="T43" i="5"/>
  <c r="O45" i="5"/>
  <c r="O59" i="5" s="1"/>
  <c r="O11" i="5" s="1"/>
  <c r="R55" i="15"/>
  <c r="S57" i="5"/>
  <c r="P31" i="5"/>
  <c r="P30" i="5"/>
  <c r="Q30" i="5" s="1"/>
  <c r="T38" i="15"/>
  <c r="S30" i="15"/>
  <c r="S26" i="5"/>
  <c r="R28" i="5"/>
  <c r="J10" i="15"/>
  <c r="J12" i="15" s="1"/>
  <c r="I14" i="15"/>
  <c r="S52" i="15"/>
  <c r="Q69" i="13" s="1"/>
  <c r="J10" i="5"/>
  <c r="J12" i="5" s="1"/>
  <c r="I14" i="5"/>
  <c r="U52" i="5"/>
  <c r="P38" i="5"/>
  <c r="Q38" i="5" s="1"/>
  <c r="P31" i="15"/>
  <c r="Q31" i="15" s="1"/>
  <c r="O48" i="13" s="1"/>
  <c r="Q26" i="15"/>
  <c r="S55" i="15" l="1"/>
  <c r="Q72" i="13" s="1"/>
  <c r="Q74" i="13" s="1"/>
  <c r="P72" i="13"/>
  <c r="P74" i="13" s="1"/>
  <c r="M15" i="13"/>
  <c r="M80" i="13" s="1"/>
  <c r="M65" i="13"/>
  <c r="M49" i="13"/>
  <c r="M35" i="13"/>
  <c r="M71" i="13"/>
  <c r="M70" i="13"/>
  <c r="M55" i="13"/>
  <c r="M6" i="13"/>
  <c r="L7" i="13" s="1"/>
  <c r="M43" i="13"/>
  <c r="M51" i="13"/>
  <c r="M42" i="13"/>
  <c r="M48" i="13"/>
  <c r="M53" i="13"/>
  <c r="M59" i="13"/>
  <c r="M69" i="13"/>
  <c r="M45" i="13"/>
  <c r="M46" i="13"/>
  <c r="M52" i="13"/>
  <c r="M54" i="13"/>
  <c r="M47" i="13"/>
  <c r="M41" i="13"/>
  <c r="M68" i="13"/>
  <c r="M78" i="13"/>
  <c r="M56" i="13"/>
  <c r="M57" i="13"/>
  <c r="M60" i="13"/>
  <c r="M67" i="13"/>
  <c r="M44" i="13"/>
  <c r="M36" i="13"/>
  <c r="M72" i="13"/>
  <c r="M58" i="13"/>
  <c r="M13" i="13"/>
  <c r="M66" i="13"/>
  <c r="M50" i="13"/>
  <c r="N48" i="13"/>
  <c r="N62" i="13" s="1"/>
  <c r="N76" i="13" s="1"/>
  <c r="N11" i="13" s="1"/>
  <c r="N74" i="13"/>
  <c r="V43" i="15"/>
  <c r="S60" i="13"/>
  <c r="W43" i="15"/>
  <c r="U60" i="13" s="1"/>
  <c r="R26" i="15"/>
  <c r="O43" i="13"/>
  <c r="T28" i="15"/>
  <c r="U38" i="15"/>
  <c r="R55" i="13"/>
  <c r="T30" i="15"/>
  <c r="Q47" i="13"/>
  <c r="N38" i="13"/>
  <c r="U55" i="5"/>
  <c r="T26" i="5"/>
  <c r="U43" i="5"/>
  <c r="V43" i="5" s="1"/>
  <c r="R57" i="15"/>
  <c r="T55" i="15"/>
  <c r="R38" i="5"/>
  <c r="R30" i="5"/>
  <c r="R31" i="15"/>
  <c r="J14" i="15"/>
  <c r="K10" i="15"/>
  <c r="K12" i="15" s="1"/>
  <c r="S28" i="5"/>
  <c r="S57" i="15"/>
  <c r="T52" i="15"/>
  <c r="P45" i="5"/>
  <c r="P59" i="5" s="1"/>
  <c r="P11" i="5" s="1"/>
  <c r="J14" i="5"/>
  <c r="B4" i="8" s="1"/>
  <c r="K10" i="5"/>
  <c r="K12" i="5" s="1"/>
  <c r="L10" i="5" s="1"/>
  <c r="L12" i="5" s="1"/>
  <c r="M10" i="5" s="1"/>
  <c r="M12" i="5" s="1"/>
  <c r="N10" i="5" s="1"/>
  <c r="N12" i="5" s="1"/>
  <c r="O10" i="5" s="1"/>
  <c r="O12" i="5" s="1"/>
  <c r="P10" i="5" s="1"/>
  <c r="U57" i="5"/>
  <c r="U26" i="5"/>
  <c r="P45" i="15"/>
  <c r="P59" i="15" s="1"/>
  <c r="P11" i="15" s="1"/>
  <c r="Q45" i="15"/>
  <c r="Q59" i="15" s="1"/>
  <c r="Q11" i="15" s="1"/>
  <c r="Q31" i="5"/>
  <c r="V52" i="5"/>
  <c r="M38" i="13" l="1"/>
  <c r="P43" i="13"/>
  <c r="M74" i="13"/>
  <c r="T60" i="13"/>
  <c r="X43" i="15"/>
  <c r="V60" i="13" s="1"/>
  <c r="R45" i="15"/>
  <c r="P48" i="13"/>
  <c r="M62" i="13"/>
  <c r="M76" i="13" s="1"/>
  <c r="M11" i="13" s="1"/>
  <c r="U30" i="15"/>
  <c r="R47" i="13"/>
  <c r="L66" i="13"/>
  <c r="L49" i="13"/>
  <c r="L46" i="13"/>
  <c r="L50" i="13"/>
  <c r="L65" i="13"/>
  <c r="L15" i="13"/>
  <c r="L80" i="13" s="1"/>
  <c r="L78" i="13"/>
  <c r="L69" i="13"/>
  <c r="L6" i="13"/>
  <c r="K7" i="13" s="1"/>
  <c r="L48" i="13"/>
  <c r="L44" i="13"/>
  <c r="L53" i="13"/>
  <c r="L59" i="13"/>
  <c r="L72" i="13"/>
  <c r="L70" i="13"/>
  <c r="L71" i="13"/>
  <c r="L36" i="13"/>
  <c r="L52" i="13"/>
  <c r="L57" i="13"/>
  <c r="L54" i="13"/>
  <c r="L55" i="13"/>
  <c r="L60" i="13"/>
  <c r="L35" i="13"/>
  <c r="L42" i="13"/>
  <c r="L43" i="13"/>
  <c r="L41" i="13"/>
  <c r="L67" i="13"/>
  <c r="L68" i="13"/>
  <c r="L13" i="13"/>
  <c r="L56" i="13"/>
  <c r="L47" i="13"/>
  <c r="L51" i="13"/>
  <c r="L58" i="13"/>
  <c r="L45" i="13"/>
  <c r="S26" i="15"/>
  <c r="Q43" i="13" s="1"/>
  <c r="V38" i="15"/>
  <c r="S55" i="13"/>
  <c r="R69" i="13"/>
  <c r="U55" i="15"/>
  <c r="R72" i="13"/>
  <c r="U28" i="15"/>
  <c r="R45" i="13"/>
  <c r="L10" i="15"/>
  <c r="L12" i="15" s="1"/>
  <c r="M10" i="15" s="1"/>
  <c r="M12" i="15" s="1"/>
  <c r="N10" i="15" s="1"/>
  <c r="N12" i="15" s="1"/>
  <c r="O10" i="15" s="1"/>
  <c r="O12" i="15" s="1"/>
  <c r="P10" i="15" s="1"/>
  <c r="P12" i="15" s="1"/>
  <c r="Q10" i="15" s="1"/>
  <c r="Q12" i="15" s="1"/>
  <c r="R10" i="15" s="1"/>
  <c r="K14" i="15"/>
  <c r="B6" i="8" s="1"/>
  <c r="R59" i="15"/>
  <c r="R11" i="15" s="1"/>
  <c r="V55" i="5"/>
  <c r="V57" i="5" s="1"/>
  <c r="W43" i="5"/>
  <c r="S38" i="5"/>
  <c r="T38" i="5" s="1"/>
  <c r="T28" i="5"/>
  <c r="S31" i="15"/>
  <c r="P12" i="5"/>
  <c r="Q10" i="5" s="1"/>
  <c r="O62" i="13"/>
  <c r="O76" i="13" s="1"/>
  <c r="O11" i="13" s="1"/>
  <c r="W52" i="5"/>
  <c r="V26" i="5"/>
  <c r="Q45" i="5"/>
  <c r="Q59" i="5" s="1"/>
  <c r="Q11" i="5" s="1"/>
  <c r="R31" i="5"/>
  <c r="S31" i="5" s="1"/>
  <c r="T26" i="15"/>
  <c r="T57" i="15"/>
  <c r="U52" i="15"/>
  <c r="S30" i="5"/>
  <c r="P62" i="13" l="1"/>
  <c r="P76" i="13" s="1"/>
  <c r="P11" i="13" s="1"/>
  <c r="V28" i="15"/>
  <c r="T45" i="13" s="1"/>
  <c r="S45" i="13"/>
  <c r="W28" i="15"/>
  <c r="U45" i="13" s="1"/>
  <c r="S45" i="15"/>
  <c r="S59" i="15" s="1"/>
  <c r="S11" i="15" s="1"/>
  <c r="Q48" i="13"/>
  <c r="L74" i="13"/>
  <c r="V55" i="15"/>
  <c r="S72" i="13"/>
  <c r="L62" i="13"/>
  <c r="U57" i="15"/>
  <c r="S69" i="13"/>
  <c r="U26" i="15"/>
  <c r="S43" i="13" s="1"/>
  <c r="R43" i="13"/>
  <c r="K52" i="13"/>
  <c r="K46" i="13"/>
  <c r="K60" i="13"/>
  <c r="K67" i="13"/>
  <c r="K69" i="13"/>
  <c r="K36" i="13"/>
  <c r="K57" i="13"/>
  <c r="K56" i="13"/>
  <c r="K6" i="13"/>
  <c r="J7" i="13" s="1"/>
  <c r="K45" i="13"/>
  <c r="K51" i="13"/>
  <c r="K53" i="13"/>
  <c r="K70" i="13"/>
  <c r="K65" i="13"/>
  <c r="K78" i="13"/>
  <c r="K48" i="13"/>
  <c r="K72" i="13"/>
  <c r="K50" i="13"/>
  <c r="K58" i="13"/>
  <c r="K49" i="13"/>
  <c r="K55" i="13"/>
  <c r="K35" i="13"/>
  <c r="K41" i="13"/>
  <c r="K68" i="13"/>
  <c r="K13" i="13"/>
  <c r="K43" i="13"/>
  <c r="K66" i="13"/>
  <c r="K44" i="13"/>
  <c r="K59" i="13"/>
  <c r="K42" i="13"/>
  <c r="K54" i="13"/>
  <c r="K15" i="13"/>
  <c r="K80" i="13" s="1"/>
  <c r="K47" i="13"/>
  <c r="K71" i="13"/>
  <c r="R74" i="13"/>
  <c r="W38" i="15"/>
  <c r="U55" i="13" s="1"/>
  <c r="T55" i="13"/>
  <c r="X38" i="15"/>
  <c r="V55" i="13" s="1"/>
  <c r="L38" i="13"/>
  <c r="V30" i="15"/>
  <c r="S47" i="13"/>
  <c r="X28" i="15"/>
  <c r="V45" i="13" s="1"/>
  <c r="R12" i="15"/>
  <c r="S10" i="15" s="1"/>
  <c r="T31" i="15"/>
  <c r="W55" i="5"/>
  <c r="U28" i="5"/>
  <c r="V28" i="5" s="1"/>
  <c r="Q12" i="5"/>
  <c r="R10" i="5" s="1"/>
  <c r="V52" i="15"/>
  <c r="S12" i="15"/>
  <c r="T10" i="15" s="1"/>
  <c r="S45" i="5"/>
  <c r="S59" i="5" s="1"/>
  <c r="S11" i="5" s="1"/>
  <c r="T31" i="5"/>
  <c r="U38" i="5"/>
  <c r="T45" i="15"/>
  <c r="T59" i="15" s="1"/>
  <c r="T11" i="15" s="1"/>
  <c r="V26" i="15"/>
  <c r="T43" i="13" s="1"/>
  <c r="W26" i="5"/>
  <c r="R45" i="5"/>
  <c r="R59" i="5" s="1"/>
  <c r="R11" i="5" s="1"/>
  <c r="R12" i="5" s="1"/>
  <c r="S10" i="5" s="1"/>
  <c r="Q62" i="13"/>
  <c r="Q76" i="13" s="1"/>
  <c r="Q11" i="13" s="1"/>
  <c r="T30" i="5"/>
  <c r="U30" i="5" s="1"/>
  <c r="L76" i="13" l="1"/>
  <c r="L11" i="13" s="1"/>
  <c r="T72" i="13"/>
  <c r="W55" i="15"/>
  <c r="W30" i="15"/>
  <c r="U47" i="13" s="1"/>
  <c r="T47" i="13"/>
  <c r="X30" i="15"/>
  <c r="V47" i="13" s="1"/>
  <c r="V57" i="15"/>
  <c r="T69" i="13"/>
  <c r="T74" i="13" s="1"/>
  <c r="K74" i="13"/>
  <c r="K62" i="13"/>
  <c r="U31" i="15"/>
  <c r="R48" i="13"/>
  <c r="R62" i="13" s="1"/>
  <c r="R76" i="13" s="1"/>
  <c r="R11" i="13" s="1"/>
  <c r="K38" i="13"/>
  <c r="S74" i="13"/>
  <c r="J47" i="13"/>
  <c r="J46" i="13"/>
  <c r="J43" i="13"/>
  <c r="J68" i="13"/>
  <c r="J15" i="13"/>
  <c r="J80" i="13" s="1"/>
  <c r="J52" i="13"/>
  <c r="J42" i="13"/>
  <c r="J13" i="13"/>
  <c r="J6" i="13"/>
  <c r="I7" i="13" s="1"/>
  <c r="J36" i="13"/>
  <c r="J55" i="13"/>
  <c r="J50" i="13"/>
  <c r="J58" i="13"/>
  <c r="J41" i="13"/>
  <c r="J72" i="13"/>
  <c r="J78" i="13"/>
  <c r="J51" i="13"/>
  <c r="J48" i="13"/>
  <c r="J65" i="13"/>
  <c r="J59" i="13"/>
  <c r="J56" i="13"/>
  <c r="J66" i="13"/>
  <c r="J67" i="13"/>
  <c r="J71" i="13"/>
  <c r="J44" i="13"/>
  <c r="J45" i="13"/>
  <c r="J60" i="13"/>
  <c r="J70" i="13"/>
  <c r="J57" i="13"/>
  <c r="J54" i="13"/>
  <c r="J69" i="13"/>
  <c r="J35" i="13"/>
  <c r="J49" i="13"/>
  <c r="J53" i="13"/>
  <c r="T12" i="15"/>
  <c r="U10" i="15" s="1"/>
  <c r="W52" i="15"/>
  <c r="W57" i="5"/>
  <c r="U31" i="5"/>
  <c r="S12" i="5"/>
  <c r="T10" i="5" s="1"/>
  <c r="V38" i="5"/>
  <c r="V31" i="5"/>
  <c r="T45" i="5"/>
  <c r="T59" i="5" s="1"/>
  <c r="T11" i="5" s="1"/>
  <c r="T12" i="5" s="1"/>
  <c r="U10" i="5" s="1"/>
  <c r="V30" i="5"/>
  <c r="W26" i="15"/>
  <c r="W28" i="5"/>
  <c r="J38" i="13" l="1"/>
  <c r="K76" i="13"/>
  <c r="K11" i="13" s="1"/>
  <c r="I54" i="13"/>
  <c r="I69" i="13"/>
  <c r="I58" i="13"/>
  <c r="I42" i="13"/>
  <c r="I55" i="13"/>
  <c r="I78" i="13"/>
  <c r="I43" i="13"/>
  <c r="I36" i="13"/>
  <c r="I50" i="13"/>
  <c r="I6" i="13"/>
  <c r="H7" i="13" s="1"/>
  <c r="I59" i="13"/>
  <c r="I49" i="13"/>
  <c r="I46" i="13"/>
  <c r="I68" i="13"/>
  <c r="I44" i="13"/>
  <c r="I41" i="13"/>
  <c r="I67" i="13"/>
  <c r="I47" i="13"/>
  <c r="I13" i="13"/>
  <c r="I71" i="13"/>
  <c r="I60" i="13"/>
  <c r="I51" i="13"/>
  <c r="I45" i="13"/>
  <c r="I35" i="13"/>
  <c r="I15" i="13"/>
  <c r="I80" i="13" s="1"/>
  <c r="I65" i="13"/>
  <c r="I52" i="13"/>
  <c r="I66" i="13"/>
  <c r="I53" i="13"/>
  <c r="I48" i="13"/>
  <c r="I72" i="13"/>
  <c r="I56" i="13"/>
  <c r="I57" i="13"/>
  <c r="I70" i="13"/>
  <c r="J74" i="13"/>
  <c r="W57" i="15"/>
  <c r="U69" i="13"/>
  <c r="S48" i="13"/>
  <c r="S62" i="13" s="1"/>
  <c r="S76" i="13" s="1"/>
  <c r="S11" i="13" s="1"/>
  <c r="U45" i="15"/>
  <c r="U59" i="15" s="1"/>
  <c r="U11" i="15" s="1"/>
  <c r="V31" i="15"/>
  <c r="J62" i="13"/>
  <c r="U12" i="15"/>
  <c r="V10" i="15" s="1"/>
  <c r="X52" i="15"/>
  <c r="U72" i="13"/>
  <c r="X55" i="15"/>
  <c r="V72" i="13" s="1"/>
  <c r="U43" i="13"/>
  <c r="X26" i="15"/>
  <c r="U45" i="5"/>
  <c r="U59" i="5" s="1"/>
  <c r="U11" i="5" s="1"/>
  <c r="V45" i="5"/>
  <c r="V59" i="5" s="1"/>
  <c r="V11" i="5" s="1"/>
  <c r="W31" i="5"/>
  <c r="W30" i="5"/>
  <c r="W38" i="5"/>
  <c r="U12" i="5"/>
  <c r="V10" i="5" s="1"/>
  <c r="J76" i="13" l="1"/>
  <c r="J11" i="13" s="1"/>
  <c r="I38" i="13"/>
  <c r="H13" i="13"/>
  <c r="H36" i="13"/>
  <c r="H78" i="13"/>
  <c r="H68" i="13"/>
  <c r="H6" i="13"/>
  <c r="G7" i="13" s="1"/>
  <c r="H70" i="13"/>
  <c r="H69" i="13"/>
  <c r="H42" i="13"/>
  <c r="H53" i="13"/>
  <c r="H55" i="13"/>
  <c r="H58" i="13"/>
  <c r="H54" i="13"/>
  <c r="H15" i="13"/>
  <c r="H80" i="13" s="1"/>
  <c r="H45" i="13"/>
  <c r="H50" i="13"/>
  <c r="H41" i="13"/>
  <c r="H46" i="13"/>
  <c r="H66" i="13"/>
  <c r="H44" i="13"/>
  <c r="H60" i="13"/>
  <c r="H72" i="13"/>
  <c r="H59" i="13"/>
  <c r="H71" i="13"/>
  <c r="H57" i="13"/>
  <c r="H56" i="13"/>
  <c r="H47" i="13"/>
  <c r="H35" i="13"/>
  <c r="H48" i="13"/>
  <c r="H67" i="13"/>
  <c r="H52" i="13"/>
  <c r="H51" i="13"/>
  <c r="H49" i="13"/>
  <c r="H65" i="13"/>
  <c r="H43" i="13"/>
  <c r="W31" i="15"/>
  <c r="T48" i="13"/>
  <c r="T62" i="13" s="1"/>
  <c r="T76" i="13" s="1"/>
  <c r="T11" i="13" s="1"/>
  <c r="V45" i="15"/>
  <c r="V59" i="15" s="1"/>
  <c r="V11" i="15" s="1"/>
  <c r="V12" i="15" s="1"/>
  <c r="W10" i="15" s="1"/>
  <c r="I62" i="13"/>
  <c r="X57" i="15"/>
  <c r="V69" i="13"/>
  <c r="V74" i="13" s="1"/>
  <c r="I74" i="13"/>
  <c r="V43" i="13"/>
  <c r="U74" i="13"/>
  <c r="V12" i="5"/>
  <c r="W10" i="5" s="1"/>
  <c r="W45" i="5"/>
  <c r="W59" i="5" s="1"/>
  <c r="W11" i="5" s="1"/>
  <c r="H38" i="13" l="1"/>
  <c r="I76" i="13"/>
  <c r="I11" i="13" s="1"/>
  <c r="H74" i="13"/>
  <c r="G56" i="13"/>
  <c r="G57" i="13"/>
  <c r="G44" i="13"/>
  <c r="G71" i="13"/>
  <c r="G65" i="13"/>
  <c r="G6" i="13"/>
  <c r="F7" i="13" s="1"/>
  <c r="G49" i="13"/>
  <c r="G52" i="13"/>
  <c r="G13" i="13"/>
  <c r="G55" i="13"/>
  <c r="G36" i="13"/>
  <c r="G48" i="13"/>
  <c r="G35" i="13"/>
  <c r="G69" i="13"/>
  <c r="G50" i="13"/>
  <c r="G53" i="13"/>
  <c r="G59" i="13"/>
  <c r="G43" i="13"/>
  <c r="G51" i="13"/>
  <c r="G41" i="13"/>
  <c r="G47" i="13"/>
  <c r="G60" i="13"/>
  <c r="G15" i="13"/>
  <c r="G80" i="13" s="1"/>
  <c r="G67" i="13"/>
  <c r="G70" i="13"/>
  <c r="G78" i="13"/>
  <c r="G66" i="13"/>
  <c r="G58" i="13"/>
  <c r="G54" i="13"/>
  <c r="G68" i="13"/>
  <c r="G46" i="13"/>
  <c r="G42" i="13"/>
  <c r="G45" i="13"/>
  <c r="G72" i="13"/>
  <c r="H62" i="13"/>
  <c r="U48" i="13"/>
  <c r="U62" i="13" s="1"/>
  <c r="U76" i="13" s="1"/>
  <c r="U11" i="13" s="1"/>
  <c r="W45" i="15"/>
  <c r="W59" i="15" s="1"/>
  <c r="W11" i="15" s="1"/>
  <c r="X31" i="15"/>
  <c r="W12" i="15"/>
  <c r="X10" i="15" s="1"/>
  <c r="W12" i="5"/>
  <c r="H76" i="13" l="1"/>
  <c r="H11" i="13" s="1"/>
  <c r="G62" i="13"/>
  <c r="F51" i="13"/>
  <c r="F45" i="13"/>
  <c r="F15" i="13"/>
  <c r="F80" i="13" s="1"/>
  <c r="F35" i="13"/>
  <c r="F70" i="13"/>
  <c r="F52" i="13"/>
  <c r="F6" i="13"/>
  <c r="E7" i="13" s="1"/>
  <c r="F72" i="13"/>
  <c r="F71" i="13"/>
  <c r="F55" i="13"/>
  <c r="F46" i="13"/>
  <c r="F59" i="13"/>
  <c r="F60" i="13"/>
  <c r="F56" i="13"/>
  <c r="F43" i="13"/>
  <c r="F47" i="13"/>
  <c r="F48" i="13"/>
  <c r="F44" i="13"/>
  <c r="F36" i="13"/>
  <c r="F50" i="13"/>
  <c r="F78" i="13"/>
  <c r="F54" i="13"/>
  <c r="F68" i="13"/>
  <c r="F58" i="13"/>
  <c r="F42" i="13"/>
  <c r="F66" i="13"/>
  <c r="F69" i="13"/>
  <c r="F65" i="13"/>
  <c r="F53" i="13"/>
  <c r="F49" i="13"/>
  <c r="F41" i="13"/>
  <c r="F13" i="13"/>
  <c r="F67" i="13"/>
  <c r="F57" i="13"/>
  <c r="G74" i="13"/>
  <c r="V48" i="13"/>
  <c r="V62" i="13" s="1"/>
  <c r="V76" i="13" s="1"/>
  <c r="V11" i="13" s="1"/>
  <c r="X45" i="15"/>
  <c r="X59" i="15" s="1"/>
  <c r="X11" i="15" s="1"/>
  <c r="X12" i="15" s="1"/>
  <c r="G38" i="13"/>
  <c r="G76" i="13" l="1"/>
  <c r="G11" i="13" s="1"/>
  <c r="E67" i="13"/>
  <c r="E70" i="13"/>
  <c r="E50" i="13"/>
  <c r="E51" i="13"/>
  <c r="E57" i="13"/>
  <c r="E35" i="13"/>
  <c r="E13" i="13"/>
  <c r="E36" i="13"/>
  <c r="E6" i="13"/>
  <c r="D7" i="13" s="1"/>
  <c r="E65" i="13"/>
  <c r="E42" i="13"/>
  <c r="E71" i="13"/>
  <c r="E49" i="13"/>
  <c r="E78" i="13"/>
  <c r="E68" i="13"/>
  <c r="E59" i="13"/>
  <c r="E55" i="13"/>
  <c r="E72" i="13"/>
  <c r="E54" i="13"/>
  <c r="E15" i="13"/>
  <c r="E80" i="13" s="1"/>
  <c r="E41" i="13"/>
  <c r="E43" i="13"/>
  <c r="E56" i="13"/>
  <c r="E66" i="13"/>
  <c r="E58" i="13"/>
  <c r="E69" i="13"/>
  <c r="E44" i="13"/>
  <c r="E45" i="13"/>
  <c r="E47" i="13"/>
  <c r="E60" i="13"/>
  <c r="E48" i="13"/>
  <c r="E52" i="13"/>
  <c r="E53" i="13"/>
  <c r="E46" i="13"/>
  <c r="F62" i="13"/>
  <c r="F38" i="13"/>
  <c r="F74" i="13"/>
  <c r="E74" i="13" l="1"/>
  <c r="E62" i="13"/>
  <c r="D53" i="13"/>
  <c r="D41" i="13"/>
  <c r="D68" i="13"/>
  <c r="D42" i="13"/>
  <c r="D72" i="13"/>
  <c r="D13" i="13"/>
  <c r="D6" i="13"/>
  <c r="D35" i="13"/>
  <c r="D10" i="13"/>
  <c r="D58" i="13"/>
  <c r="D48" i="13"/>
  <c r="D59" i="13"/>
  <c r="D66" i="13"/>
  <c r="D46" i="13"/>
  <c r="D45" i="13"/>
  <c r="D52" i="13"/>
  <c r="D50" i="13"/>
  <c r="D44" i="13"/>
  <c r="D70" i="13"/>
  <c r="D65" i="13"/>
  <c r="D54" i="13"/>
  <c r="D15" i="13"/>
  <c r="D80" i="13" s="1"/>
  <c r="D67" i="13"/>
  <c r="D60" i="13"/>
  <c r="D51" i="13"/>
  <c r="D57" i="13"/>
  <c r="D69" i="13"/>
  <c r="D71" i="13"/>
  <c r="D36" i="13"/>
  <c r="D55" i="13"/>
  <c r="D78" i="13"/>
  <c r="D49" i="13"/>
  <c r="D47" i="13"/>
  <c r="D43" i="13"/>
  <c r="D56" i="13"/>
  <c r="E38" i="13"/>
  <c r="F76" i="13"/>
  <c r="F11" i="13" s="1"/>
  <c r="D74" i="13" l="1"/>
  <c r="D38" i="13"/>
  <c r="D62" i="13"/>
  <c r="E76" i="13"/>
  <c r="E11" i="13" s="1"/>
  <c r="D76" i="13" l="1"/>
  <c r="D11" i="13" s="1"/>
  <c r="D12" i="13" s="1"/>
  <c r="D79" i="13" l="1"/>
  <c r="E10" i="13"/>
  <c r="E12" i="13" s="1"/>
  <c r="D14" i="13"/>
  <c r="F10" i="13" l="1"/>
  <c r="F12" i="13" s="1"/>
  <c r="E79" i="13"/>
  <c r="E14" i="13"/>
  <c r="G10" i="13" l="1"/>
  <c r="G12" i="13" s="1"/>
  <c r="F79" i="13"/>
  <c r="F14" i="13"/>
  <c r="H10" i="13" l="1"/>
  <c r="H12" i="13" s="1"/>
  <c r="G79" i="13"/>
  <c r="G14" i="13"/>
  <c r="I10" i="13" l="1"/>
  <c r="I12" i="13" s="1"/>
  <c r="H79" i="13"/>
  <c r="H14" i="13"/>
  <c r="I79" i="13" l="1"/>
  <c r="J10" i="13"/>
  <c r="J12" i="13" s="1"/>
  <c r="I14" i="13"/>
  <c r="B5" i="8" s="1"/>
  <c r="B2" i="8" s="1"/>
  <c r="D2" i="18" s="1"/>
  <c r="D2" i="5" l="1"/>
  <c r="C2" i="13"/>
  <c r="D2" i="15"/>
  <c r="J79" i="13"/>
  <c r="K10" i="13"/>
  <c r="K12" i="13" s="1"/>
  <c r="L10" i="13" l="1"/>
  <c r="L12" i="13" s="1"/>
  <c r="K79" i="13"/>
  <c r="L79" i="13" l="1"/>
  <c r="M10" i="13"/>
  <c r="M12" i="13" s="1"/>
  <c r="M79" i="13" l="1"/>
  <c r="N10" i="13"/>
  <c r="N12" i="13" s="1"/>
  <c r="N79" i="13" l="1"/>
  <c r="O10" i="13"/>
  <c r="O12" i="13" s="1"/>
  <c r="O79" i="13" l="1"/>
  <c r="P10" i="13"/>
  <c r="P12" i="13" s="1"/>
  <c r="Q10" i="13" l="1"/>
  <c r="Q12" i="13" s="1"/>
  <c r="P79" i="13"/>
  <c r="R10" i="13" l="1"/>
  <c r="R12" i="13" s="1"/>
  <c r="Q79" i="13"/>
  <c r="R79" i="13" l="1"/>
  <c r="S10" i="13"/>
  <c r="S12" i="13" s="1"/>
  <c r="T10" i="13" l="1"/>
  <c r="T12" i="13" s="1"/>
  <c r="S79" i="13"/>
  <c r="T79" i="13" l="1"/>
  <c r="U10" i="13"/>
  <c r="U12" i="13" s="1"/>
  <c r="V10" i="13" l="1"/>
  <c r="V12" i="13" s="1"/>
  <c r="V79" i="13" s="1"/>
  <c r="U79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<sst xmlns="http://schemas.openxmlformats.org/spreadsheetml/2006/main" count="1393" uniqueCount="290">
  <si>
    <t>DATE</t>
  </si>
  <si>
    <t>TRANSACTION</t>
  </si>
  <si>
    <t>DESCRIPTION</t>
  </si>
  <si>
    <t>AMOUNT</t>
  </si>
  <si>
    <t>BALANCE</t>
  </si>
  <si>
    <t>DEBIT</t>
  </si>
  <si>
    <t>WEB AUTHORIZED PMT KRYPTONIX</t>
  </si>
  <si>
    <t>CHECK</t>
  </si>
  <si>
    <t>CREDIT</t>
  </si>
  <si>
    <t>DEPOSIT</t>
  </si>
  <si>
    <t>ELECTRONIC WITHDRAWAL GLOWTECH</t>
  </si>
  <si>
    <t>ELECTRONIC WITHDRAWAL STATE DEPT REVENUE</t>
  </si>
  <si>
    <t>ELECTRONIC WITHDRAWAL IRS</t>
  </si>
  <si>
    <t>ELECTRONIC WITHDRAWAL PAYROLL</t>
  </si>
  <si>
    <t>ELECTRONIC WITHDRAWAL FRACTALIX</t>
  </si>
  <si>
    <t>ELECTRONIC WITHDRAWAL CRYONIX</t>
  </si>
  <si>
    <t>ELECTRONIC WITHDRAWAL HYPERTECH</t>
  </si>
  <si>
    <t>ELECTRONIC DEPOSIT ZONIX</t>
  </si>
  <si>
    <t>WEB AUTHORIZED PMT LUCENTIX</t>
  </si>
  <si>
    <t>ELECTRONIC WITHDRAWAL STATE DMV</t>
  </si>
  <si>
    <t>ELECTRONIC WITHDRAWAL BLITZIX</t>
  </si>
  <si>
    <t>ELECTRONIC WITHDRAWAL CAPITALONE</t>
  </si>
  <si>
    <t>ELECTRONIC WITHDRAWAL ETERNIX</t>
  </si>
  <si>
    <t>ELECTRONIC WITHDRAWAL DYNACORP</t>
  </si>
  <si>
    <t>ELECTRONIC WITHDRAWAL IRIDIUMIX</t>
  </si>
  <si>
    <t>ELECTRONIC WITHDRAWAL DISCOVER</t>
  </si>
  <si>
    <t>ELECTRONIC DEPOSIT ARCATECH</t>
  </si>
  <si>
    <t>ELECTRONIC WITHDRAWAL JUNCTIX</t>
  </si>
  <si>
    <t>Week Ending</t>
  </si>
  <si>
    <t>Unique ID</t>
  </si>
  <si>
    <t>Category</t>
  </si>
  <si>
    <t>Category Check</t>
  </si>
  <si>
    <t>Transaction Number</t>
  </si>
  <si>
    <t>Formula helpers for 13 Week Cash Flow Modeling</t>
  </si>
  <si>
    <t>Week end date</t>
  </si>
  <si>
    <t>=[date]+7-WEEKDAY([date]+7-7)</t>
  </si>
  <si>
    <t>Exact match for Unique ID</t>
  </si>
  <si>
    <t>=INDEX(ID_Matches[CATEGORY],MATCH([unique id],ID_Matches[UNIQUE IDENTIFIER],0))</t>
  </si>
  <si>
    <t>Text contains for Unique ID</t>
  </si>
  <si>
    <t>=INDEX([table 2 category],MATCH(TRUE,ISNUMBER(SEARCH([unique id contains],[unique id from actuals])),0)))</t>
  </si>
  <si>
    <t>Complete formula</t>
  </si>
  <si>
    <t>=IFERROR(INDEX(Table1[CATEGORY],MATCH([unique ID from actuals],Table1[UNIQUE IDENTIFIER],0)),INDEX(Table2[CATEGORY],MATCH(TRUE,ISNUMBER(SEARCH(Table2[UNIQUE IDENTIFIER CONTAINS],[unique Id from actuals])),0)))</t>
  </si>
  <si>
    <t>SUMPRODUCT for Variance Report</t>
  </si>
  <si>
    <t>=SUMPRODUCT([result range]*([date range]=[date])*([category range]=[category]))</t>
  </si>
  <si>
    <t>Actual / Forecast</t>
  </si>
  <si>
    <t>Actual</t>
  </si>
  <si>
    <t>Forecast</t>
  </si>
  <si>
    <t>Week Number</t>
  </si>
  <si>
    <t>Week Beginning</t>
  </si>
  <si>
    <t>Forecast Methodology</t>
  </si>
  <si>
    <t>Placeholder</t>
  </si>
  <si>
    <t>Cash Balance</t>
  </si>
  <si>
    <t>Beginning Cash</t>
  </si>
  <si>
    <t>Change in Cash</t>
  </si>
  <si>
    <t>Ending Cash</t>
  </si>
  <si>
    <t>Per Data</t>
  </si>
  <si>
    <t>Double-Check</t>
  </si>
  <si>
    <t>Last Week's Forecast</t>
  </si>
  <si>
    <t>Cash Inflows</t>
  </si>
  <si>
    <t>Invoiced AR + New Revenue</t>
  </si>
  <si>
    <t>Other Inflows</t>
  </si>
  <si>
    <t>Enter Manually</t>
  </si>
  <si>
    <t>Total Cash Inflows</t>
  </si>
  <si>
    <t>Operating Cash Outflows</t>
  </si>
  <si>
    <t>Accounts Payable</t>
  </si>
  <si>
    <t>Credit Cards</t>
  </si>
  <si>
    <t>Payroll</t>
  </si>
  <si>
    <t>Trailing 6 Week Average</t>
  </si>
  <si>
    <t>Contractors</t>
  </si>
  <si>
    <t>Dues &amp; Subscriptions</t>
  </si>
  <si>
    <t>Insurance</t>
  </si>
  <si>
    <t>Lease Payments</t>
  </si>
  <si>
    <t>Marketing</t>
  </si>
  <si>
    <t>Phone &amp; Internet</t>
  </si>
  <si>
    <t>Professional Fees</t>
  </si>
  <si>
    <t>$5k each Month</t>
  </si>
  <si>
    <t>Rent</t>
  </si>
  <si>
    <t>Repairs &amp; Maintenance</t>
  </si>
  <si>
    <t>Supplies</t>
  </si>
  <si>
    <t>Licenses</t>
  </si>
  <si>
    <t>Technology</t>
  </si>
  <si>
    <t>Training</t>
  </si>
  <si>
    <t>Travel &amp; Entertainment</t>
  </si>
  <si>
    <t>Utilities</t>
  </si>
  <si>
    <t>Vehicles</t>
  </si>
  <si>
    <t>$7k each Month</t>
  </si>
  <si>
    <t>Other Operating Outflows</t>
  </si>
  <si>
    <t>Total Operating Cash Outflows</t>
  </si>
  <si>
    <t>Non-operating Cash Outflows</t>
  </si>
  <si>
    <t>Capital Expenditures</t>
  </si>
  <si>
    <t>Debt Proceeds</t>
  </si>
  <si>
    <t>Interest Payments</t>
  </si>
  <si>
    <t>Principal Payments</t>
  </si>
  <si>
    <t>Tax Distributions</t>
  </si>
  <si>
    <t>Equity Distributions</t>
  </si>
  <si>
    <t>Equity Contributions</t>
  </si>
  <si>
    <t>Other Non-operating Outflows</t>
  </si>
  <si>
    <t>Total Non-operating Cash Outflows</t>
  </si>
  <si>
    <t>Master Error Check Cell</t>
  </si>
  <si>
    <t>Cash Forecast doesn't match Actual data</t>
  </si>
  <si>
    <t>Put all additional error checks above this line</t>
  </si>
  <si>
    <t>BLITZIX</t>
  </si>
  <si>
    <t>CAPITALONE</t>
  </si>
  <si>
    <t>CRYONIX</t>
  </si>
  <si>
    <t>DYNACORP</t>
  </si>
  <si>
    <t>ETERNIX</t>
  </si>
  <si>
    <t>IRS</t>
  </si>
  <si>
    <t>KRYPTONIX</t>
  </si>
  <si>
    <t>DISCOVER</t>
  </si>
  <si>
    <t>FRACTALIX</t>
  </si>
  <si>
    <t>GLOWTECH</t>
  </si>
  <si>
    <t>PAYROLL</t>
  </si>
  <si>
    <t>HYPERTECH</t>
  </si>
  <si>
    <t>ZONIX</t>
  </si>
  <si>
    <t>STATE DEPT REVENUE</t>
  </si>
  <si>
    <t>STATE DMV</t>
  </si>
  <si>
    <t>LUCENTIX</t>
  </si>
  <si>
    <t>ARCATECH</t>
  </si>
  <si>
    <t>MERIDIANTECH</t>
  </si>
  <si>
    <t>IRIDIUMIX</t>
  </si>
  <si>
    <t>JUNCTIX</t>
  </si>
  <si>
    <t>Unique ID Matches</t>
  </si>
  <si>
    <t>Unique ID Contains</t>
  </si>
  <si>
    <t>5CHECK</t>
  </si>
  <si>
    <t>15CHECK</t>
  </si>
  <si>
    <t>18CHECK</t>
  </si>
  <si>
    <t>69CHECK</t>
  </si>
  <si>
    <t>72CHECK</t>
  </si>
  <si>
    <t>73CHECK</t>
  </si>
  <si>
    <t>136CHECK</t>
  </si>
  <si>
    <t>150CHECK</t>
  </si>
  <si>
    <t>151CHECK</t>
  </si>
  <si>
    <t>193CHECK</t>
  </si>
  <si>
    <t>198CHECK</t>
  </si>
  <si>
    <t>199CHECK</t>
  </si>
  <si>
    <t>200CHECK</t>
  </si>
  <si>
    <t>245CHECK</t>
  </si>
  <si>
    <t>256CHECK</t>
  </si>
  <si>
    <t>258CHECK</t>
  </si>
  <si>
    <t>285CHECK</t>
  </si>
  <si>
    <t>290CHECK</t>
  </si>
  <si>
    <t>291CHECK</t>
  </si>
  <si>
    <t>300CHECK</t>
  </si>
  <si>
    <t>345CHECK</t>
  </si>
  <si>
    <t>↓ Flows thru Model</t>
  </si>
  <si>
    <t>↓ Raw Data from AP Aging Report</t>
  </si>
  <si>
    <t>Amount</t>
  </si>
  <si>
    <t>Date</t>
  </si>
  <si>
    <t>Credit Card?</t>
  </si>
  <si>
    <t>Vendor</t>
  </si>
  <si>
    <t>Current</t>
  </si>
  <si>
    <t>1 - 30</t>
  </si>
  <si>
    <t>31 - 60</t>
  </si>
  <si>
    <t>61 - 90</t>
  </si>
  <si>
    <t>&gt; 90</t>
  </si>
  <si>
    <t>TOTAL</t>
  </si>
  <si>
    <t>Yes</t>
  </si>
  <si>
    <t>METRIX</t>
  </si>
  <si>
    <t>ORACLETECH</t>
  </si>
  <si>
    <t>PHOENIXCORP</t>
  </si>
  <si>
    <t>QUANTUMIX</t>
  </si>
  <si>
    <t>RIFTTECH</t>
  </si>
  <si>
    <t>SILVERTECH</t>
  </si>
  <si>
    <t>TITANIX</t>
  </si>
  <si>
    <t>UNICORE</t>
  </si>
  <si>
    <t>VORTEXCORP</t>
  </si>
  <si>
    <t>WINDTECH</t>
  </si>
  <si>
    <t>GRAVITONIX</t>
  </si>
  <si>
    <t>YONICORP</t>
  </si>
  <si>
    <t>ZYMOTECH</t>
  </si>
  <si>
    <t>ASTRATECH</t>
  </si>
  <si>
    <t>BIOSIX</t>
  </si>
  <si>
    <t>CORETECH</t>
  </si>
  <si>
    <t>DIODETECH</t>
  </si>
  <si>
    <t>ELEMENTIX</t>
  </si>
  <si>
    <t>FROSTIX</t>
  </si>
  <si>
    <t>HYDROTECH</t>
  </si>
  <si>
    <t>IMPULSETECH</t>
  </si>
  <si>
    <t>JOLTIX</t>
  </si>
  <si>
    <t>KONTACTIX</t>
  </si>
  <si>
    <t>LYNXTECH</t>
  </si>
  <si>
    <t>MATRIXIX</t>
  </si>
  <si>
    <t>NOMADIX</t>
  </si>
  <si>
    <t>OXYTECH</t>
  </si>
  <si>
    <t>PIONIX</t>
  </si>
  <si>
    <t>QUORATECH</t>
  </si>
  <si>
    <t>RAZORIX</t>
  </si>
  <si>
    <t>STORMTECH</t>
  </si>
  <si>
    <t>TRITONIX</t>
  </si>
  <si>
    <t>UNIVERSEIX</t>
  </si>
  <si>
    <t>VECTORTECH</t>
  </si>
  <si>
    <t>WILDCARDIX</t>
  </si>
  <si>
    <t>XCELCORP</t>
  </si>
  <si>
    <t>YETITECH</t>
  </si>
  <si>
    <t>↓ Raw Data from AR Aging Report</t>
  </si>
  <si>
    <t>Customer</t>
  </si>
  <si>
    <t>AQUATECH</t>
  </si>
  <si>
    <t>BLAZECORP</t>
  </si>
  <si>
    <t>CORELIX</t>
  </si>
  <si>
    <t>DIAMONTECH</t>
  </si>
  <si>
    <t>ECHOIX</t>
  </si>
  <si>
    <t>FLARETECH</t>
  </si>
  <si>
    <t>HELIXCORP</t>
  </si>
  <si>
    <t>ILLUMIX</t>
  </si>
  <si>
    <t>JADETECH</t>
  </si>
  <si>
    <t>KRYSTALIX</t>
  </si>
  <si>
    <t>LUXORTECH</t>
  </si>
  <si>
    <t>MAGMACORP</t>
  </si>
  <si>
    <t>NEOTRONIX</t>
  </si>
  <si>
    <t>OMEGATECH</t>
  </si>
  <si>
    <t>PULSETECH</t>
  </si>
  <si>
    <t>QUARTZTECH</t>
  </si>
  <si>
    <t>REFLUXIX</t>
  </si>
  <si>
    <t>SOLARIX</t>
  </si>
  <si>
    <t>TURBOTRON</t>
  </si>
  <si>
    <t>UNITYCORP</t>
  </si>
  <si>
    <t>VIBECH</t>
  </si>
  <si>
    <t>WHIRLIX</t>
  </si>
  <si>
    <t>XORTECH</t>
  </si>
  <si>
    <t>YONIX</t>
  </si>
  <si>
    <t>ZIONTECH</t>
  </si>
  <si>
    <t>ASCENTIX</t>
  </si>
  <si>
    <t>BRILLIATECH</t>
  </si>
  <si>
    <t>CRYSTALTECH</t>
  </si>
  <si>
    <t>THJADETECH</t>
  </si>
  <si>
    <t>ENERGIX</t>
  </si>
  <si>
    <t>FLUXATECH</t>
  </si>
  <si>
    <t>GLOTECH</t>
  </si>
  <si>
    <t>HALOCORP</t>
  </si>
  <si>
    <t>INTELIX</t>
  </si>
  <si>
    <t>JUPITERIX</t>
  </si>
  <si>
    <t>KOSMIX</t>
  </si>
  <si>
    <t>ZJADETECH</t>
  </si>
  <si>
    <t>See AR Aging Schedule</t>
  </si>
  <si>
    <t>See AP Aging Schedule</t>
  </si>
  <si>
    <t>Summary doesn't match the Cash Flow Forecast</t>
  </si>
  <si>
    <t>Week End Date</t>
  </si>
  <si>
    <t>This Week's Forecast</t>
  </si>
  <si>
    <t>File Update Instructions</t>
  </si>
  <si>
    <t>Last Updated: XX/XX/XXXX</t>
  </si>
  <si>
    <t>Save as new version.</t>
  </si>
  <si>
    <t>Duplicate Cash Forecast Tab</t>
  </si>
  <si>
    <t>Bring Error Check to Error Checking Tab</t>
  </si>
  <si>
    <t>Copy/paste last week's forecast to new forecast</t>
  </si>
  <si>
    <t>Bring in new Bank Data.</t>
  </si>
  <si>
    <t>Add Transaction Numbers &amp; drag down helper formulas.</t>
  </si>
  <si>
    <t>Make sure any checks over $3,000 are tagged to AP.</t>
  </si>
  <si>
    <t>Copy AP Aging Report &amp; bring in new data.</t>
  </si>
  <si>
    <t>Copy AR Aging Report &amp; bring in new data.</t>
  </si>
  <si>
    <t>Drag "Actual" along top of new Cash Forecast.</t>
  </si>
  <si>
    <t>Drag forward all SUMIFS formulas.</t>
  </si>
  <si>
    <t>Copy/paste Ending Cash balance (and fix any variances).</t>
  </si>
  <si>
    <t>Insert new column to create 13th week.</t>
  </si>
  <si>
    <t>Enter 0 or blank in new 13th week in "Last Week's Forecast" row.</t>
  </si>
  <si>
    <r>
      <rPr>
        <sz val="10"/>
        <color rgb="FFFF0000"/>
        <rFont val="Calibri"/>
        <family val="2"/>
      </rPr>
      <t>⚠️</t>
    </r>
    <r>
      <rPr>
        <sz val="10"/>
        <color theme="1"/>
        <rFont val="Calibri"/>
        <family val="2"/>
      </rPr>
      <t>Replace links to Aging Schedules.</t>
    </r>
  </si>
  <si>
    <t>Review all Other Inflows &amp; Outflows as appropriate.</t>
  </si>
  <si>
    <r>
      <rPr>
        <sz val="10"/>
        <color rgb="FFFF0000"/>
        <rFont val="Calibri"/>
        <family val="2"/>
      </rPr>
      <t>⚠️</t>
    </r>
    <r>
      <rPr>
        <sz val="10"/>
        <color theme="1"/>
        <rFont val="Calibri"/>
        <family val="2"/>
      </rPr>
      <t>Replace links in Summary.</t>
    </r>
  </si>
  <si>
    <t>Update &amp; review Variance Report</t>
  </si>
  <si>
    <t>Add commentary to Variance Report</t>
  </si>
  <si>
    <t>Confirm all Error Checks equal zero.</t>
  </si>
  <si>
    <t>Final Review &amp; distribute report.</t>
  </si>
  <si>
    <t>x</t>
  </si>
  <si>
    <t>Cash Forecast 02 doesn't match Actual data</t>
  </si>
  <si>
    <t>WEB AUTHORIZED PMT MERIDIANTECH</t>
  </si>
  <si>
    <t>431CHECK</t>
  </si>
  <si>
    <t>Variance Tagging</t>
  </si>
  <si>
    <t>Other Ops</t>
  </si>
  <si>
    <t>Non Ops</t>
  </si>
  <si>
    <t>Bridge</t>
  </si>
  <si>
    <t>Last Week's Ending Cash</t>
  </si>
  <si>
    <t>Difference in Invoiced AR + New Revenue</t>
  </si>
  <si>
    <t>Difference in Accounts Payable</t>
  </si>
  <si>
    <t>Difference in Credit Cards</t>
  </si>
  <si>
    <t>Difference in Other Ops</t>
  </si>
  <si>
    <t>Difference in Non Ops</t>
  </si>
  <si>
    <t>Net Difference</t>
  </si>
  <si>
    <t>This Week's Ending Cash</t>
  </si>
  <si>
    <t>This Week's Ending Cash, per Forecast</t>
  </si>
  <si>
    <t>Difference</t>
  </si>
  <si>
    <t>Commentary</t>
  </si>
  <si>
    <t>What Changed:</t>
  </si>
  <si>
    <t>Why it Changed:</t>
  </si>
  <si>
    <t>What to do Next:</t>
  </si>
  <si>
    <t>Variance Report doesn't match Cash Forecast</t>
  </si>
  <si>
    <t>Pulsetech can't pay</t>
  </si>
  <si>
    <t>Whirlix can't pay</t>
  </si>
  <si>
    <t>Astratech had larger AP balance than expected</t>
  </si>
  <si>
    <t>Liquidity crisis</t>
  </si>
  <si>
    <t>[to discuss]</t>
  </si>
  <si>
    <t>Reach out to AP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</si>
</sst>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_(* #,##0_);_(* \(#,##0\);_(* &quot;   -&quot;?_);_(@_)"/>
    <numFmt numFmtId="165" formatCode="&quot;$&quot;#,##0_);\(&quot;$&quot;#,##0\);\-"/>
    <numFmt numFmtId="166" formatCode="&quot;Payable&quot;\ 0"/>
    <numFmt numFmtId="167" formatCode="&quot;$&quot;#,##0.00_);\(&quot;$&quot;#,##0.00\);\-"/>
  </numFmts>
  <fonts count="24" x14ac:knownFonts="1">
    <font>
      <sz val="10"/>
      <color theme="1"/>
      <name val="Calibri"/>
      <family val="2"/>
    </font>
    <font>
      <sz val="10"/>
      <color rgb="FF0070C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rgb="FF0000FF"/>
      <name val="Calibri"/>
      <family val="2"/>
    </font>
    <font>
      <b/>
      <i/>
      <sz val="10"/>
      <color rgb="FF0000FF"/>
      <name val="Calibri"/>
      <family val="2"/>
    </font>
    <font>
      <b/>
      <u val="singleAccounting"/>
      <sz val="10"/>
      <color theme="1"/>
      <name val="Calibri"/>
      <family val="2"/>
    </font>
    <font>
      <b/>
      <i/>
      <u val="singleAccounting"/>
      <sz val="10"/>
      <color theme="1"/>
      <name val="Calibri"/>
      <family val="2"/>
    </font>
    <font>
      <i/>
      <sz val="10"/>
      <color theme="1"/>
      <name val="Calibri"/>
      <family val="2"/>
    </font>
    <font>
      <i/>
      <sz val="10"/>
      <color rgb="FF0000FF"/>
      <name val="Calibri"/>
      <family val="2"/>
    </font>
    <font>
      <sz val="10"/>
      <color rgb="FF0000FF"/>
      <name val="Calibri"/>
      <family val="2"/>
    </font>
    <font>
      <i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b/>
      <sz val="10"/>
      <name val="Calibri"/>
      <family val="2"/>
    </font>
    <font>
      <b/>
      <u val="singleAccounting"/>
      <sz val="10"/>
      <color rgb="FF0000FF"/>
      <name val="Calibri"/>
      <family val="2"/>
    </font>
    <font>
      <b/>
      <u val="singleAccounting"/>
      <sz val="10"/>
      <color theme="0"/>
      <name val="Calibri"/>
      <family val="2"/>
    </font>
    <font>
      <sz val="10"/>
      <color theme="9" tint="-0.249977111117893"/>
      <name val="Calibri"/>
      <family val="2"/>
    </font>
    <font>
      <i/>
      <sz val="10"/>
      <name val="Calibri"/>
      <family val="2"/>
    </font>
    <font>
      <b/>
      <u val="singleAccounting"/>
      <sz val="10"/>
      <color theme="9" tint="-0.249977111117893"/>
      <name val="Calibri"/>
      <family val="2"/>
    </font>
    <font>
      <b/>
      <u val="singleAccounting"/>
      <sz val="10"/>
      <color rgb="FF0070C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7" fontId="1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7" fontId="2" fillId="0" borderId="0" xfId="0" applyNumberFormat="1" applyFont="1"/>
    <xf numFmtId="0" fontId="0" fillId="0" borderId="0" xfId="0" quotePrefix="1"/>
    <xf numFmtId="14" fontId="0" fillId="0" borderId="0" xfId="0" applyNumberFormat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" fontId="6" fillId="2" borderId="0" xfId="0" applyNumberFormat="1" applyFont="1" applyFill="1" applyAlignment="1">
      <alignment horizontal="center"/>
    </xf>
    <xf numFmtId="16" fontId="4" fillId="2" borderId="0" xfId="0" applyNumberFormat="1" applyFont="1" applyFill="1" applyAlignment="1">
      <alignment horizontal="center"/>
    </xf>
    <xf numFmtId="0" fontId="8" fillId="2" borderId="0" xfId="0" applyFont="1" applyFill="1"/>
    <xf numFmtId="0" fontId="9" fillId="2" borderId="0" xfId="0" applyFont="1" applyFill="1" applyAlignment="1">
      <alignment horizontal="left"/>
    </xf>
    <xf numFmtId="16" fontId="8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0" fillId="0" borderId="0" xfId="0" applyFont="1"/>
    <xf numFmtId="0" fontId="11" fillId="2" borderId="0" xfId="0" applyFont="1" applyFill="1"/>
    <xf numFmtId="164" fontId="12" fillId="2" borderId="0" xfId="0" applyNumberFormat="1" applyFont="1" applyFill="1"/>
    <xf numFmtId="0" fontId="0" fillId="0" borderId="0" xfId="0" applyAlignment="1">
      <alignment horizontal="left" indent="1"/>
    </xf>
    <xf numFmtId="0" fontId="13" fillId="0" borderId="0" xfId="0" applyFont="1"/>
    <xf numFmtId="165" fontId="1" fillId="4" borderId="0" xfId="0" applyNumberFormat="1" applyFont="1" applyFill="1"/>
    <xf numFmtId="165" fontId="14" fillId="0" borderId="0" xfId="0" applyNumberFormat="1" applyFont="1"/>
    <xf numFmtId="0" fontId="0" fillId="0" borderId="0" xfId="0" applyAlignment="1">
      <alignment horizontal="left" indent="2"/>
    </xf>
    <xf numFmtId="0" fontId="4" fillId="0" borderId="1" xfId="0" applyFont="1" applyBorder="1" applyAlignment="1">
      <alignment horizontal="left" indent="1"/>
    </xf>
    <xf numFmtId="0" fontId="7" fillId="0" borderId="1" xfId="0" applyFont="1" applyBorder="1"/>
    <xf numFmtId="165" fontId="15" fillId="0" borderId="1" xfId="0" applyNumberFormat="1" applyFont="1" applyBorder="1"/>
    <xf numFmtId="165" fontId="3" fillId="0" borderId="0" xfId="0" applyNumberFormat="1" applyFont="1"/>
    <xf numFmtId="165" fontId="1" fillId="5" borderId="0" xfId="0" applyNumberFormat="1" applyFont="1" applyFill="1"/>
    <xf numFmtId="0" fontId="13" fillId="2" borderId="0" xfId="0" applyFont="1" applyFill="1"/>
    <xf numFmtId="165" fontId="14" fillId="2" borderId="0" xfId="0" applyNumberFormat="1" applyFont="1" applyFill="1"/>
    <xf numFmtId="165" fontId="2" fillId="0" borderId="0" xfId="0" applyNumberFormat="1" applyFont="1"/>
    <xf numFmtId="0" fontId="4" fillId="0" borderId="2" xfId="0" applyFont="1" applyBorder="1"/>
    <xf numFmtId="0" fontId="16" fillId="0" borderId="2" xfId="0" applyFont="1" applyBorder="1"/>
    <xf numFmtId="165" fontId="17" fillId="0" borderId="2" xfId="0" applyNumberFormat="1" applyFont="1" applyBorder="1"/>
    <xf numFmtId="165" fontId="2" fillId="2" borderId="0" xfId="0" applyNumberFormat="1" applyFont="1" applyFill="1"/>
    <xf numFmtId="0" fontId="4" fillId="0" borderId="1" xfId="0" applyFont="1" applyBorder="1"/>
    <xf numFmtId="0" fontId="16" fillId="0" borderId="1" xfId="0" applyFont="1" applyBorder="1"/>
    <xf numFmtId="165" fontId="17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18" fillId="6" borderId="4" xfId="0" applyFont="1" applyFill="1" applyBorder="1" applyAlignment="1">
      <alignment horizontal="centerContinuous"/>
    </xf>
    <xf numFmtId="0" fontId="18" fillId="6" borderId="5" xfId="0" applyFont="1" applyFill="1" applyBorder="1" applyAlignment="1">
      <alignment horizontal="centerContinuous"/>
    </xf>
    <xf numFmtId="0" fontId="19" fillId="7" borderId="4" xfId="0" applyFont="1" applyFill="1" applyBorder="1" applyAlignment="1">
      <alignment horizontal="centerContinuous"/>
    </xf>
    <xf numFmtId="0" fontId="19" fillId="7" borderId="5" xfId="0" applyFont="1" applyFill="1" applyBorder="1" applyAlignment="1">
      <alignment horizontal="centerContinuous"/>
    </xf>
    <xf numFmtId="0" fontId="19" fillId="7" borderId="6" xfId="0" applyFont="1" applyFill="1" applyBorder="1" applyAlignment="1">
      <alignment horizontal="centerContinuous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7" fontId="12" fillId="6" borderId="0" xfId="0" applyNumberFormat="1" applyFont="1" applyFill="1"/>
    <xf numFmtId="14" fontId="12" fillId="6" borderId="0" xfId="0" applyNumberFormat="1" applyFont="1" applyFill="1"/>
    <xf numFmtId="14" fontId="12" fillId="6" borderId="0" xfId="0" applyNumberFormat="1" applyFont="1" applyFill="1" applyAlignment="1">
      <alignment horizontal="center"/>
    </xf>
    <xf numFmtId="166" fontId="12" fillId="0" borderId="0" xfId="0" applyNumberFormat="1" applyFont="1" applyAlignment="1">
      <alignment horizontal="left"/>
    </xf>
    <xf numFmtId="167" fontId="12" fillId="0" borderId="0" xfId="0" applyNumberFormat="1" applyFont="1"/>
    <xf numFmtId="167" fontId="14" fillId="0" borderId="0" xfId="0" applyNumberFormat="1" applyFont="1"/>
    <xf numFmtId="7" fontId="0" fillId="0" borderId="0" xfId="0" applyNumberFormat="1"/>
    <xf numFmtId="0" fontId="12" fillId="8" borderId="0" xfId="0" applyFont="1" applyFill="1"/>
    <xf numFmtId="167" fontId="12" fillId="8" borderId="0" xfId="0" applyNumberFormat="1" applyFont="1" applyFill="1"/>
    <xf numFmtId="167" fontId="14" fillId="8" borderId="0" xfId="0" applyNumberFormat="1" applyFont="1" applyFill="1"/>
    <xf numFmtId="0" fontId="12" fillId="0" borderId="0" xfId="0" applyFont="1"/>
    <xf numFmtId="166" fontId="12" fillId="8" borderId="0" xfId="0" applyNumberFormat="1" applyFont="1" applyFill="1" applyAlignment="1">
      <alignment horizontal="left"/>
    </xf>
    <xf numFmtId="165" fontId="20" fillId="0" borderId="0" xfId="0" applyNumberFormat="1" applyFont="1"/>
    <xf numFmtId="0" fontId="21" fillId="0" borderId="0" xfId="0" applyFont="1"/>
    <xf numFmtId="165" fontId="2" fillId="6" borderId="0" xfId="0" applyNumberFormat="1" applyFont="1" applyFill="1"/>
    <xf numFmtId="165" fontId="1" fillId="6" borderId="0" xfId="0" applyNumberFormat="1" applyFont="1" applyFill="1"/>
    <xf numFmtId="16" fontId="22" fillId="2" borderId="0" xfId="0" applyNumberFormat="1" applyFont="1" applyFill="1" applyAlignment="1">
      <alignment horizontal="center"/>
    </xf>
    <xf numFmtId="16" fontId="0" fillId="0" borderId="0" xfId="0" applyNumberFormat="1"/>
    <xf numFmtId="165" fontId="0" fillId="0" borderId="0" xfId="0" applyNumberFormat="1"/>
    <xf numFmtId="14" fontId="1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7" fontId="12" fillId="9" borderId="0" xfId="0" applyNumberFormat="1" applyFont="1" applyFill="1"/>
    <xf numFmtId="14" fontId="12" fillId="9" borderId="0" xfId="0" applyNumberFormat="1" applyFont="1" applyFill="1"/>
    <xf numFmtId="14" fontId="12" fillId="9" borderId="0" xfId="0" applyNumberFormat="1" applyFont="1" applyFill="1" applyAlignment="1">
      <alignment horizontal="center"/>
    </xf>
    <xf numFmtId="0" fontId="12" fillId="9" borderId="0" xfId="0" applyFont="1" applyFill="1"/>
    <xf numFmtId="167" fontId="12" fillId="9" borderId="0" xfId="0" applyNumberFormat="1" applyFont="1" applyFill="1"/>
    <xf numFmtId="167" fontId="14" fillId="9" borderId="0" xfId="0" applyNumberFormat="1" applyFont="1" applyFill="1"/>
    <xf numFmtId="166" fontId="12" fillId="9" borderId="0" xfId="0" applyNumberFormat="1" applyFont="1" applyFill="1" applyAlignment="1">
      <alignment horizontal="left"/>
    </xf>
    <xf numFmtId="0" fontId="23" fillId="2" borderId="0" xfId="0" applyFont="1" applyFill="1"/>
    <xf numFmtId="0" fontId="0" fillId="0" borderId="1" xfId="0" applyBorder="1"/>
    <xf numFmtId="0" fontId="10" fillId="0" borderId="1" xfId="0" applyFont="1" applyBorder="1"/>
    <xf numFmtId="165" fontId="0" fillId="0" borderId="1" xfId="0" applyNumberFormat="1" applyBorder="1"/>
    <xf numFmtId="0" fontId="10" fillId="0" borderId="2" xfId="0" applyFont="1" applyBorder="1"/>
    <xf numFmtId="165" fontId="0" fillId="0" borderId="2" xfId="0" applyNumberFormat="1" applyBorder="1"/>
    <xf numFmtId="0" fontId="5" fillId="2" borderId="0" xfId="0" applyFont="1" applyFill="1"/>
  </cellXfs>
  <cellStyles count="1">
    <cellStyle name="Normal" xfId="0" builtinId="0"/>
  </cellStyles>
  <dxfs count="29">
    <dxf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theme="4"/>
        </patternFill>
      </fill>
    </dxf>
    <dxf>
      <fill>
        <patternFill>
          <bgColor theme="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0070C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70C0"/>
        <name val="Calibri"/>
        <family val="2"/>
        <scheme val="none"/>
      </font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rgb="FF0070C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70C0"/>
        <name val="Calibri"/>
        <family val="2"/>
        <scheme val="none"/>
      </font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Ending Cash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Dashboard'!$C$79</c:f>
              <c:strCache>
                <c:ptCount val="1"/>
                <c:pt idx="0">
                  <c:v>This Week's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Dashboard'!$D$78:$V$78</c:f>
              <c:numCache>
                <c:formatCode>d\-mmm</c:formatCode>
                <c:ptCount val="19"/>
                <c:pt idx="0">
                  <c:v>45234</c:v>
                </c:pt>
                <c:pt idx="1">
                  <c:v>45241</c:v>
                </c:pt>
                <c:pt idx="2">
                  <c:v>45248</c:v>
                </c:pt>
                <c:pt idx="3">
                  <c:v>45255</c:v>
                </c:pt>
                <c:pt idx="4">
                  <c:v>45262</c:v>
                </c:pt>
                <c:pt idx="5">
                  <c:v>45269</c:v>
                </c:pt>
                <c:pt idx="6">
                  <c:v>45276</c:v>
                </c:pt>
                <c:pt idx="7">
                  <c:v>45283</c:v>
                </c:pt>
                <c:pt idx="8">
                  <c:v>45290</c:v>
                </c:pt>
                <c:pt idx="9">
                  <c:v>45297</c:v>
                </c:pt>
                <c:pt idx="10">
                  <c:v>45304</c:v>
                </c:pt>
                <c:pt idx="11">
                  <c:v>45311</c:v>
                </c:pt>
                <c:pt idx="12">
                  <c:v>45318</c:v>
                </c:pt>
                <c:pt idx="13">
                  <c:v>45325</c:v>
                </c:pt>
                <c:pt idx="14">
                  <c:v>45332</c:v>
                </c:pt>
                <c:pt idx="15">
                  <c:v>45339</c:v>
                </c:pt>
                <c:pt idx="16">
                  <c:v>45346</c:v>
                </c:pt>
                <c:pt idx="17">
                  <c:v>45353</c:v>
                </c:pt>
                <c:pt idx="18">
                  <c:v>45360</c:v>
                </c:pt>
              </c:numCache>
            </c:numRef>
          </c:cat>
          <c:val>
            <c:numRef>
              <c:f>'Summary Dashboard'!$D$79:$V$79</c:f>
              <c:numCache>
                <c:formatCode>"$"#,##0_);\("$"#,##0\);\-</c:formatCode>
                <c:ptCount val="19"/>
                <c:pt idx="0">
                  <c:v>174090</c:v>
                </c:pt>
                <c:pt idx="1">
                  <c:v>239110</c:v>
                </c:pt>
                <c:pt idx="2">
                  <c:v>43360</c:v>
                </c:pt>
                <c:pt idx="3">
                  <c:v>325260</c:v>
                </c:pt>
                <c:pt idx="4">
                  <c:v>215160</c:v>
                </c:pt>
                <c:pt idx="5">
                  <c:v>108940</c:v>
                </c:pt>
                <c:pt idx="6">
                  <c:v>160208.33333333331</c:v>
                </c:pt>
                <c:pt idx="7">
                  <c:v>489131.38888888888</c:v>
                </c:pt>
                <c:pt idx="8">
                  <c:v>511128.28703703702</c:v>
                </c:pt>
                <c:pt idx="9">
                  <c:v>486126.3348765432</c:v>
                </c:pt>
                <c:pt idx="10">
                  <c:v>428132.39068930037</c:v>
                </c:pt>
                <c:pt idx="11">
                  <c:v>590959.45580418373</c:v>
                </c:pt>
                <c:pt idx="12">
                  <c:v>610529.365104881</c:v>
                </c:pt>
                <c:pt idx="13">
                  <c:v>335882.87040013896</c:v>
                </c:pt>
                <c:pt idx="14">
                  <c:v>192474.78398534728</c:v>
                </c:pt>
                <c:pt idx="15">
                  <c:v>-16467.466523267649</c:v>
                </c:pt>
                <c:pt idx="16">
                  <c:v>149500.23324343059</c:v>
                </c:pt>
                <c:pt idx="17">
                  <c:v>-137705.12633088112</c:v>
                </c:pt>
                <c:pt idx="18">
                  <c:v>-196949.22335339192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2-452B-9960-357F96BB4E78}"/>
            </c:ext>
          </c:extLst>
        </c:ser>
        <c:ser>
          <c:idx val="1"/>
          <c:order val="1"/>
          <c:tx>
            <c:strRef>
              <c:f>'Summary Dashboard'!$C$80</c:f>
              <c:strCache>
                <c:ptCount val="1"/>
                <c:pt idx="0">
                  <c:v>Last Week's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'Summary Dashboard'!$D$78:$V$78</c:f>
              <c:numCache>
                <c:formatCode>d\-mmm</c:formatCode>
                <c:ptCount val="19"/>
                <c:pt idx="0">
                  <c:v>45234</c:v>
                </c:pt>
                <c:pt idx="1">
                  <c:v>45241</c:v>
                </c:pt>
                <c:pt idx="2">
                  <c:v>45248</c:v>
                </c:pt>
                <c:pt idx="3">
                  <c:v>45255</c:v>
                </c:pt>
                <c:pt idx="4">
                  <c:v>45262</c:v>
                </c:pt>
                <c:pt idx="5">
                  <c:v>45269</c:v>
                </c:pt>
                <c:pt idx="6">
                  <c:v>45276</c:v>
                </c:pt>
                <c:pt idx="7">
                  <c:v>45283</c:v>
                </c:pt>
                <c:pt idx="8">
                  <c:v>45290</c:v>
                </c:pt>
                <c:pt idx="9">
                  <c:v>45297</c:v>
                </c:pt>
                <c:pt idx="10">
                  <c:v>45304</c:v>
                </c:pt>
                <c:pt idx="11">
                  <c:v>45311</c:v>
                </c:pt>
                <c:pt idx="12">
                  <c:v>45318</c:v>
                </c:pt>
                <c:pt idx="13">
                  <c:v>45325</c:v>
                </c:pt>
                <c:pt idx="14">
                  <c:v>45332</c:v>
                </c:pt>
                <c:pt idx="15">
                  <c:v>45339</c:v>
                </c:pt>
                <c:pt idx="16">
                  <c:v>45346</c:v>
                </c:pt>
                <c:pt idx="17">
                  <c:v>45353</c:v>
                </c:pt>
                <c:pt idx="18">
                  <c:v>45360</c:v>
                </c:pt>
              </c:numCache>
            </c:numRef>
          </c:cat>
          <c:val>
            <c:numRef>
              <c:f>'Summary Dashboard'!$D$80:$V$80</c:f>
              <c:numCache>
                <c:formatCode>"$"#,##0_);\("$"#,##0\);\-</c:formatCode>
                <c:ptCount val="19"/>
                <c:pt idx="0">
                  <c:v>174090</c:v>
                </c:pt>
                <c:pt idx="1">
                  <c:v>239110</c:v>
                </c:pt>
                <c:pt idx="2">
                  <c:v>43360</c:v>
                </c:pt>
                <c:pt idx="3">
                  <c:v>325260</c:v>
                </c:pt>
                <c:pt idx="4">
                  <c:v>215160</c:v>
                </c:pt>
                <c:pt idx="5">
                  <c:v>112041.66666666667</c:v>
                </c:pt>
                <c:pt idx="6">
                  <c:v>156995.27777777778</c:v>
                </c:pt>
                <c:pt idx="7">
                  <c:v>399451.15740740742</c:v>
                </c:pt>
                <c:pt idx="8">
                  <c:v>415303.01697530865</c:v>
                </c:pt>
                <c:pt idx="9">
                  <c:v>382731.85313786007</c:v>
                </c:pt>
                <c:pt idx="10">
                  <c:v>316373.82866083673</c:v>
                </c:pt>
                <c:pt idx="11">
                  <c:v>519442.80010430957</c:v>
                </c:pt>
                <c:pt idx="12">
                  <c:v>532142.98901058338</c:v>
                </c:pt>
                <c:pt idx="13">
                  <c:v>472334.27421605098</c:v>
                </c:pt>
                <c:pt idx="14">
                  <c:v>279031.46035082493</c:v>
                </c:pt>
                <c:pt idx="15">
                  <c:v>412252.86758007761</c:v>
                </c:pt>
                <c:pt idx="16">
                  <c:v>580273.03665378049</c:v>
                </c:pt>
                <c:pt idx="17">
                  <c:v>291189.57131927111</c:v>
                </c:pt>
                <c:pt idx="18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2-452B-9960-357F96BB4E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26079824"/>
        <c:axId val="226079344"/>
      </c:lineChart>
      <c:dateAx>
        <c:axId val="22607982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79344"/>
        <c:crosses val="autoZero"/>
        <c:auto val="1"/>
        <c:lblOffset val="100"/>
        <c:baseTimeUnit val="days"/>
      </c:dateAx>
      <c:valAx>
        <c:axId val="22607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07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1142999</xdr:colOff>
      <xdr:row>15</xdr:row>
      <xdr:rowOff>57150</xdr:rowOff>
    </xdr:from>
    <xdr:to>
      <xdr:col>21</xdr:col>
      <xdr:colOff>695324</xdr:colOff>
      <xdr:row>32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47ECB3-64BA-4516-A750-7A41318A0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EA1662-02D4-41CB-AEF0-501EA8CDD0D9}" name="Table1" displayName="Table1" ref="A1:C23" totalsRowShown="0">
  <autoFilter ref="A1:C23" xr:uid="{DFEA1662-02D4-41CB-AEF0-501EA8CDD0D9}"/>
  <tableColumns count="3">
    <tableColumn id="1" xr3:uid="{FA86772E-57D8-4993-858E-2A0E7C1BFF4E}" name="Unique ID Matches" dataDxfId="28"/>
    <tableColumn id="2" xr3:uid="{6EA60E40-434B-499C-9284-E23AABB1F04F}" name="Category" dataDxfId="27"/>
    <tableColumn id="3" xr3:uid="{BBF0E88B-9177-4A3E-A06C-0F2C7CB50D8A}" name="Category Check" dataDxfId="26">
      <calculatedColumnFormula>INDEX('13 weeks CF'!$C$9:$C$59,MATCH(Table1[[#This Row],[Category]],'13 weeks CF'!$C$9:$C$59,0))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962945-DCA5-40E7-9B72-BFC4D711689D}" name="Table2" displayName="Table2" ref="E1:G23" totalsRowShown="0">
  <autoFilter ref="E1:G23" xr:uid="{2C962945-DCA5-40E7-9B72-BFC4D711689D}"/>
  <tableColumns count="3">
    <tableColumn id="1" xr3:uid="{39BF2A47-1438-42BB-BD22-B566AE2E7956}" name="Unique ID Contains" dataDxfId="25"/>
    <tableColumn id="2" xr3:uid="{734451F3-1718-43EB-9784-70BEC6E988CC}" name="Category" dataDxfId="24"/>
    <tableColumn id="3" xr3:uid="{59AE343B-0DE3-4D1C-92CD-1E15A4E2802F}" name="Category Check" dataDxfId="23">
      <calculatedColumnFormula>INDEX('13 weeks CF'!$C$9:$C$59,MATCH(Table2[[#This Row],[Category]],'13 weeks CF'!$C$9:$C$59,0))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0BAF-4A51-4888-9FCE-CE60A325D7B0}">
  <dimension ref="B2:D9"/>
  <sheetViews>
    <sheetView tabSelected="1" workbookViewId="0">
      <selection activeCell="D19" sqref="D19"/>
    </sheetView>
  </sheetViews>
  <sheetFormatPr defaultRowHeight="13" x14ac:dyDescent="0.3"/>
  <cols>
    <col min="1" max="1" width="2.69921875" customWidth="1"/>
    <col min="3" max="3" width="2.69921875" customWidth="1"/>
  </cols>
  <sheetData>
    <row r="2" spans="2:4" x14ac:dyDescent="0.3">
      <c r="B2" s="48">
        <f>SUM(B3:B9)</f>
        <v>0</v>
      </c>
      <c r="D2" t="s">
        <v>98</v>
      </c>
    </row>
    <row r="4" spans="2:4" x14ac:dyDescent="0.3">
      <c r="B4" s="48">
        <f>SUM('13 weeks CF'!14:14)</f>
        <v>0</v>
      </c>
      <c r="D4" t="s">
        <v>99</v>
      </c>
    </row>
    <row r="5" spans="2:4" x14ac:dyDescent="0.3">
      <c r="B5" s="48">
        <f>SUM('Summary Dashboard'!14:14)</f>
        <v>0</v>
      </c>
      <c r="D5" t="s">
        <v>235</v>
      </c>
    </row>
    <row r="6" spans="2:4" x14ac:dyDescent="0.3">
      <c r="B6" s="48">
        <f>SUM('Rolling CF'!14:14)</f>
        <v>0</v>
      </c>
      <c r="D6" t="s">
        <v>262</v>
      </c>
    </row>
    <row r="7" spans="2:4" x14ac:dyDescent="0.3">
      <c r="B7" s="48">
        <f>SUM('Variance Analysis'!20:20)</f>
        <v>0</v>
      </c>
      <c r="D7" t="s">
        <v>283</v>
      </c>
    </row>
    <row r="9" spans="2:4" x14ac:dyDescent="0.3">
      <c r="B9" s="47"/>
      <c r="C9" s="47"/>
      <c r="D9" s="47" t="s">
        <v>100</v>
      </c>
    </row>
  </sheetData>
  <conditionalFormatting sqref="B2">
    <cfRule type="cellIs" dxfId="22" priority="1" operator="notEqual">
      <formula>0</formula>
    </cfRule>
    <cfRule type="cellIs" dxfId="21" priority="2" operator="equal">
      <formula>0</formula>
    </cfRule>
  </conditionalFormatting>
  <conditionalFormatting sqref="B4:B7">
    <cfRule type="cellIs" dxfId="20" priority="3" operator="notEqual">
      <formula>0</formula>
    </cfRule>
    <cfRule type="cellIs" dxfId="19" priority="4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FBF2-1D2F-4548-8717-8548D6F6D199}">
  <sheetPr>
    <tabColor theme="0" tint="-0.249977111117893"/>
  </sheetPr>
  <dimension ref="B2:D4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3" x14ac:dyDescent="0.3"/>
  <cols>
    <col min="1" max="1" width="2.69921875" customWidth="1"/>
    <col min="2" max="2" width="56.09765625" bestFit="1" customWidth="1"/>
    <col min="3" max="3" width="2.69921875" customWidth="1"/>
    <col min="4" max="4" width="12.69921875" customWidth="1"/>
  </cols>
  <sheetData>
    <row r="2" spans="2:4" x14ac:dyDescent="0.3">
      <c r="B2" t="s">
        <v>238</v>
      </c>
    </row>
    <row r="3" spans="2:4" x14ac:dyDescent="0.3">
      <c r="B3" t="s">
        <v>239</v>
      </c>
    </row>
    <row r="5" spans="2:4" x14ac:dyDescent="0.3">
      <c r="B5" t="s">
        <v>28</v>
      </c>
      <c r="D5" s="76">
        <v>45269</v>
      </c>
    </row>
    <row r="7" spans="2:4" x14ac:dyDescent="0.3">
      <c r="B7" t="s">
        <v>240</v>
      </c>
      <c r="D7" s="77" t="s">
        <v>261</v>
      </c>
    </row>
    <row r="9" spans="2:4" x14ac:dyDescent="0.3">
      <c r="B9" t="s">
        <v>241</v>
      </c>
      <c r="D9" s="77" t="s">
        <v>261</v>
      </c>
    </row>
    <row r="11" spans="2:4" x14ac:dyDescent="0.3">
      <c r="B11" t="s">
        <v>242</v>
      </c>
      <c r="D11" s="77" t="s">
        <v>261</v>
      </c>
    </row>
    <row r="13" spans="2:4" x14ac:dyDescent="0.3">
      <c r="B13" t="s">
        <v>243</v>
      </c>
      <c r="D13" s="77" t="s">
        <v>261</v>
      </c>
    </row>
    <row r="15" spans="2:4" x14ac:dyDescent="0.3">
      <c r="B15" t="s">
        <v>244</v>
      </c>
      <c r="D15" s="77" t="s">
        <v>261</v>
      </c>
    </row>
    <row r="17" spans="2:4" x14ac:dyDescent="0.3">
      <c r="B17" t="s">
        <v>245</v>
      </c>
      <c r="D17" s="77" t="s">
        <v>261</v>
      </c>
    </row>
    <row r="19" spans="2:4" x14ac:dyDescent="0.3">
      <c r="B19" t="s">
        <v>246</v>
      </c>
      <c r="D19" s="77" t="s">
        <v>261</v>
      </c>
    </row>
    <row r="21" spans="2:4" x14ac:dyDescent="0.3">
      <c r="B21" t="s">
        <v>247</v>
      </c>
      <c r="D21" s="77" t="s">
        <v>261</v>
      </c>
    </row>
    <row r="23" spans="2:4" x14ac:dyDescent="0.3">
      <c r="B23" t="s">
        <v>248</v>
      </c>
      <c r="D23" s="77" t="s">
        <v>261</v>
      </c>
    </row>
    <row r="25" spans="2:4" x14ac:dyDescent="0.3">
      <c r="B25" t="s">
        <v>249</v>
      </c>
      <c r="D25" s="77" t="s">
        <v>261</v>
      </c>
    </row>
    <row r="27" spans="2:4" x14ac:dyDescent="0.3">
      <c r="B27" t="s">
        <v>250</v>
      </c>
      <c r="D27" s="77" t="s">
        <v>261</v>
      </c>
    </row>
    <row r="29" spans="2:4" x14ac:dyDescent="0.3">
      <c r="B29" t="s">
        <v>251</v>
      </c>
      <c r="D29" s="77" t="s">
        <v>261</v>
      </c>
    </row>
    <row r="31" spans="2:4" x14ac:dyDescent="0.3">
      <c r="B31" t="s">
        <v>252</v>
      </c>
      <c r="D31" s="77" t="s">
        <v>261</v>
      </c>
    </row>
    <row r="33" spans="2:4" x14ac:dyDescent="0.3">
      <c r="B33" t="s">
        <v>253</v>
      </c>
      <c r="D33" s="77" t="s">
        <v>261</v>
      </c>
    </row>
    <row r="35" spans="2:4" x14ac:dyDescent="0.3">
      <c r="B35" t="s">
        <v>254</v>
      </c>
      <c r="D35" s="77" t="s">
        <v>261</v>
      </c>
    </row>
    <row r="37" spans="2:4" x14ac:dyDescent="0.3">
      <c r="B37" t="s">
        <v>255</v>
      </c>
      <c r="D37" s="77" t="s">
        <v>261</v>
      </c>
    </row>
    <row r="39" spans="2:4" x14ac:dyDescent="0.3">
      <c r="B39" t="s">
        <v>256</v>
      </c>
      <c r="D39" s="77" t="s">
        <v>261</v>
      </c>
    </row>
    <row r="41" spans="2:4" x14ac:dyDescent="0.3">
      <c r="B41" t="s">
        <v>257</v>
      </c>
      <c r="D41" s="77" t="s">
        <v>261</v>
      </c>
    </row>
    <row r="43" spans="2:4" x14ac:dyDescent="0.3">
      <c r="B43" t="s">
        <v>258</v>
      </c>
      <c r="D43" s="77" t="s">
        <v>261</v>
      </c>
    </row>
    <row r="45" spans="2:4" x14ac:dyDescent="0.3">
      <c r="B45" t="s">
        <v>259</v>
      </c>
      <c r="D45" s="77" t="s">
        <v>261</v>
      </c>
    </row>
    <row r="47" spans="2:4" x14ac:dyDescent="0.3">
      <c r="B47" t="s">
        <v>260</v>
      </c>
      <c r="D47" s="77" t="s">
        <v>261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1FDB-83C9-470F-ADD0-1C014D1C0C7C}">
  <sheetPr>
    <tabColor rgb="FF00B050"/>
    <pageSetUpPr fitToPage="1"/>
  </sheetPr>
  <dimension ref="B2:V80"/>
  <sheetViews>
    <sheetView showGridLines="0" view="pageBreakPreview" zoomScale="36" zoomScaleNormal="100" zoomScaleSheetLayoutView="36" workbookViewId="0">
      <pane xSplit="3" ySplit="7" topLeftCell="H17" activePane="bottomRight" state="frozen"/>
      <selection pane="topRight" activeCell="D1" sqref="D1"/>
      <selection pane="bottomLeft" activeCell="A8" sqref="A8"/>
      <selection pane="bottomRight" activeCell="C25" sqref="C25"/>
    </sheetView>
  </sheetViews>
  <sheetFormatPr defaultRowHeight="13" x14ac:dyDescent="0.3"/>
  <cols>
    <col min="1" max="1" width="2.69921875" customWidth="1"/>
    <col min="2" max="2" width="42" bestFit="1" customWidth="1"/>
    <col min="3" max="3" width="29.3984375" style="24" bestFit="1" customWidth="1"/>
    <col min="4" max="4" width="14.09765625" bestFit="1" customWidth="1"/>
    <col min="5" max="6" width="13.3984375" bestFit="1" customWidth="1"/>
    <col min="7" max="7" width="13.19921875" bestFit="1" customWidth="1"/>
    <col min="8" max="8" width="13.8984375" bestFit="1" customWidth="1"/>
    <col min="9" max="9" width="14.09765625" bestFit="1" customWidth="1"/>
    <col min="10" max="10" width="13" bestFit="1" customWidth="1"/>
    <col min="11" max="11" width="13.69921875" bestFit="1" customWidth="1"/>
    <col min="12" max="12" width="13" bestFit="1" customWidth="1"/>
    <col min="13" max="13" width="14.3984375" bestFit="1" customWidth="1"/>
    <col min="14" max="15" width="13" bestFit="1" customWidth="1"/>
    <col min="16" max="16" width="12.69921875" bestFit="1" customWidth="1"/>
    <col min="17" max="17" width="14.3984375" bestFit="1" customWidth="1"/>
    <col min="18" max="18" width="13.8984375" bestFit="1" customWidth="1"/>
    <col min="19" max="19" width="14.3984375" bestFit="1" customWidth="1"/>
    <col min="20" max="22" width="13.8984375" bestFit="1" customWidth="1"/>
  </cols>
  <sheetData>
    <row r="2" spans="2:22" x14ac:dyDescent="0.3">
      <c r="B2" t="s">
        <v>98</v>
      </c>
      <c r="C2" s="48">
        <f>'Error Checking'!$B$2</f>
        <v>0</v>
      </c>
    </row>
    <row r="4" spans="2:22" x14ac:dyDescent="0.3">
      <c r="B4" s="12" t="s">
        <v>44</v>
      </c>
      <c r="C4" s="13"/>
      <c r="D4" s="14" t="s">
        <v>45</v>
      </c>
      <c r="E4" s="14" t="s">
        <v>45</v>
      </c>
      <c r="F4" s="14" t="s">
        <v>45</v>
      </c>
      <c r="G4" s="14" t="s">
        <v>45</v>
      </c>
      <c r="H4" s="14" t="s">
        <v>45</v>
      </c>
      <c r="I4" s="14" t="s">
        <v>45</v>
      </c>
      <c r="J4" s="14" t="s">
        <v>46</v>
      </c>
      <c r="K4" s="14" t="s">
        <v>46</v>
      </c>
      <c r="L4" s="14" t="s">
        <v>46</v>
      </c>
      <c r="M4" s="14" t="s">
        <v>46</v>
      </c>
      <c r="N4" s="14" t="s">
        <v>46</v>
      </c>
      <c r="O4" s="14" t="s">
        <v>46</v>
      </c>
      <c r="P4" s="14" t="s">
        <v>46</v>
      </c>
      <c r="Q4" s="14" t="s">
        <v>46</v>
      </c>
      <c r="R4" s="14" t="s">
        <v>46</v>
      </c>
      <c r="S4" s="14" t="s">
        <v>46</v>
      </c>
      <c r="T4" s="14" t="s">
        <v>46</v>
      </c>
      <c r="U4" s="14" t="s">
        <v>46</v>
      </c>
      <c r="V4" s="14" t="s">
        <v>46</v>
      </c>
    </row>
    <row r="5" spans="2:22" x14ac:dyDescent="0.3">
      <c r="B5" s="12" t="s">
        <v>47</v>
      </c>
      <c r="C5" s="13"/>
      <c r="D5" s="16">
        <v>1</v>
      </c>
      <c r="E5" s="14">
        <f>D5+1</f>
        <v>2</v>
      </c>
      <c r="F5" s="14">
        <f t="shared" ref="F5:V5" si="0">E5+1</f>
        <v>3</v>
      </c>
      <c r="G5" s="14">
        <f t="shared" si="0"/>
        <v>4</v>
      </c>
      <c r="H5" s="14">
        <f t="shared" si="0"/>
        <v>5</v>
      </c>
      <c r="I5" s="14">
        <f t="shared" si="0"/>
        <v>6</v>
      </c>
      <c r="J5" s="14">
        <f t="shared" si="0"/>
        <v>7</v>
      </c>
      <c r="K5" s="14">
        <f t="shared" si="0"/>
        <v>8</v>
      </c>
      <c r="L5" s="14">
        <f t="shared" si="0"/>
        <v>9</v>
      </c>
      <c r="M5" s="14">
        <f t="shared" si="0"/>
        <v>10</v>
      </c>
      <c r="N5" s="14">
        <f t="shared" si="0"/>
        <v>11</v>
      </c>
      <c r="O5" s="14">
        <f t="shared" si="0"/>
        <v>12</v>
      </c>
      <c r="P5" s="14">
        <f t="shared" si="0"/>
        <v>13</v>
      </c>
      <c r="Q5" s="14">
        <f t="shared" si="0"/>
        <v>14</v>
      </c>
      <c r="R5" s="14">
        <f t="shared" si="0"/>
        <v>15</v>
      </c>
      <c r="S5" s="14">
        <f t="shared" si="0"/>
        <v>16</v>
      </c>
      <c r="T5" s="14">
        <f t="shared" si="0"/>
        <v>17</v>
      </c>
      <c r="U5" s="14">
        <f t="shared" si="0"/>
        <v>18</v>
      </c>
      <c r="V5" s="14">
        <f t="shared" si="0"/>
        <v>19</v>
      </c>
    </row>
    <row r="6" spans="2:22" x14ac:dyDescent="0.3">
      <c r="B6" s="12" t="s">
        <v>48</v>
      </c>
      <c r="C6" s="17"/>
      <c r="D6" s="19">
        <f t="shared" ref="D6:T6" si="1">D7-6</f>
        <v>45228</v>
      </c>
      <c r="E6" s="19">
        <f t="shared" si="1"/>
        <v>45235</v>
      </c>
      <c r="F6" s="19">
        <f t="shared" si="1"/>
        <v>45242</v>
      </c>
      <c r="G6" s="19">
        <f t="shared" si="1"/>
        <v>45249</v>
      </c>
      <c r="H6" s="19">
        <f t="shared" si="1"/>
        <v>45256</v>
      </c>
      <c r="I6" s="19">
        <f t="shared" si="1"/>
        <v>45263</v>
      </c>
      <c r="J6" s="19">
        <f t="shared" si="1"/>
        <v>45270</v>
      </c>
      <c r="K6" s="19">
        <f t="shared" si="1"/>
        <v>45277</v>
      </c>
      <c r="L6" s="19">
        <f t="shared" si="1"/>
        <v>45284</v>
      </c>
      <c r="M6" s="19">
        <f t="shared" si="1"/>
        <v>45291</v>
      </c>
      <c r="N6" s="19">
        <f t="shared" si="1"/>
        <v>45298</v>
      </c>
      <c r="O6" s="19">
        <f t="shared" si="1"/>
        <v>45305</v>
      </c>
      <c r="P6" s="19">
        <f t="shared" si="1"/>
        <v>45312</v>
      </c>
      <c r="Q6" s="19">
        <f t="shared" si="1"/>
        <v>45319</v>
      </c>
      <c r="R6" s="19">
        <f t="shared" si="1"/>
        <v>45326</v>
      </c>
      <c r="S6" s="19">
        <f t="shared" si="1"/>
        <v>45333</v>
      </c>
      <c r="T6" s="19">
        <f t="shared" si="1"/>
        <v>45340</v>
      </c>
      <c r="U6" s="19">
        <f>U7-6</f>
        <v>45347</v>
      </c>
      <c r="V6" s="19">
        <f>V7-6</f>
        <v>45354</v>
      </c>
    </row>
    <row r="7" spans="2:22" ht="14.5" x14ac:dyDescent="0.45">
      <c r="B7" s="20" t="s">
        <v>28</v>
      </c>
      <c r="C7" s="21" t="s">
        <v>49</v>
      </c>
      <c r="D7" s="22">
        <f t="shared" ref="D7:T7" si="2">E6-1</f>
        <v>45234</v>
      </c>
      <c r="E7" s="22">
        <f t="shared" si="2"/>
        <v>45241</v>
      </c>
      <c r="F7" s="22">
        <f t="shared" si="2"/>
        <v>45248</v>
      </c>
      <c r="G7" s="22">
        <f t="shared" si="2"/>
        <v>45255</v>
      </c>
      <c r="H7" s="22">
        <f t="shared" si="2"/>
        <v>45262</v>
      </c>
      <c r="I7" s="22">
        <f t="shared" si="2"/>
        <v>45269</v>
      </c>
      <c r="J7" s="22">
        <f t="shared" si="2"/>
        <v>45276</v>
      </c>
      <c r="K7" s="22">
        <f t="shared" si="2"/>
        <v>45283</v>
      </c>
      <c r="L7" s="22">
        <f t="shared" si="2"/>
        <v>45290</v>
      </c>
      <c r="M7" s="22">
        <f t="shared" si="2"/>
        <v>45297</v>
      </c>
      <c r="N7" s="22">
        <f t="shared" si="2"/>
        <v>45304</v>
      </c>
      <c r="O7" s="22">
        <f t="shared" si="2"/>
        <v>45311</v>
      </c>
      <c r="P7" s="22">
        <f t="shared" si="2"/>
        <v>45318</v>
      </c>
      <c r="Q7" s="22">
        <f t="shared" si="2"/>
        <v>45325</v>
      </c>
      <c r="R7" s="22">
        <f t="shared" si="2"/>
        <v>45332</v>
      </c>
      <c r="S7" s="22">
        <f t="shared" si="2"/>
        <v>45339</v>
      </c>
      <c r="T7" s="22">
        <f t="shared" si="2"/>
        <v>45346</v>
      </c>
      <c r="U7" s="22">
        <f>V6-1</f>
        <v>45353</v>
      </c>
      <c r="V7" s="73">
        <f>MAX('Rolling CF'!$7:$7)</f>
        <v>45360</v>
      </c>
    </row>
    <row r="9" spans="2:22" ht="14.5" x14ac:dyDescent="0.45">
      <c r="B9" s="20" t="s">
        <v>51</v>
      </c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spans="2:22" x14ac:dyDescent="0.3">
      <c r="B10" s="27" t="s">
        <v>52</v>
      </c>
      <c r="C10" s="28"/>
      <c r="D10" s="30">
        <f>INDEX('Rolling CF'!$1:$1048576,MATCH($B10,'Rolling CF'!$C:$C,0),MATCH(D$7,'Rolling CF'!$7:$7,0))</f>
        <v>210210</v>
      </c>
      <c r="E10" s="30">
        <f t="shared" ref="E10:V10" si="3">D12</f>
        <v>174090</v>
      </c>
      <c r="F10" s="30">
        <f t="shared" si="3"/>
        <v>239110</v>
      </c>
      <c r="G10" s="30">
        <f t="shared" si="3"/>
        <v>43360</v>
      </c>
      <c r="H10" s="30">
        <f t="shared" si="3"/>
        <v>325260</v>
      </c>
      <c r="I10" s="30">
        <f t="shared" si="3"/>
        <v>215160</v>
      </c>
      <c r="J10" s="30">
        <f t="shared" si="3"/>
        <v>108940</v>
      </c>
      <c r="K10" s="30">
        <f t="shared" si="3"/>
        <v>160208.33333333331</v>
      </c>
      <c r="L10" s="30">
        <f t="shared" si="3"/>
        <v>489131.38888888888</v>
      </c>
      <c r="M10" s="30">
        <f t="shared" si="3"/>
        <v>511128.28703703702</v>
      </c>
      <c r="N10" s="30">
        <f t="shared" si="3"/>
        <v>486126.3348765432</v>
      </c>
      <c r="O10" s="30">
        <f t="shared" si="3"/>
        <v>428132.39068930037</v>
      </c>
      <c r="P10" s="30">
        <f t="shared" si="3"/>
        <v>590959.45580418373</v>
      </c>
      <c r="Q10" s="30">
        <f t="shared" si="3"/>
        <v>610529.365104881</v>
      </c>
      <c r="R10" s="30">
        <f t="shared" si="3"/>
        <v>335882.87040013896</v>
      </c>
      <c r="S10" s="30">
        <f t="shared" si="3"/>
        <v>192474.78398534728</v>
      </c>
      <c r="T10" s="30">
        <f t="shared" si="3"/>
        <v>-16467.466523267649</v>
      </c>
      <c r="U10" s="30">
        <f t="shared" si="3"/>
        <v>149500.23324343059</v>
      </c>
      <c r="V10" s="30">
        <f t="shared" si="3"/>
        <v>-137705.12633088112</v>
      </c>
    </row>
    <row r="11" spans="2:22" x14ac:dyDescent="0.3">
      <c r="B11" s="31" t="s">
        <v>53</v>
      </c>
      <c r="C11" s="28"/>
      <c r="D11" s="30">
        <f>D76</f>
        <v>-36120</v>
      </c>
      <c r="E11" s="30">
        <f t="shared" ref="E11:V11" si="4">E76</f>
        <v>65020</v>
      </c>
      <c r="F11" s="30">
        <f t="shared" si="4"/>
        <v>-195750</v>
      </c>
      <c r="G11" s="30">
        <f t="shared" si="4"/>
        <v>281900</v>
      </c>
      <c r="H11" s="30">
        <f t="shared" si="4"/>
        <v>-110100</v>
      </c>
      <c r="I11" s="30">
        <f t="shared" si="4"/>
        <v>-106220</v>
      </c>
      <c r="J11" s="30">
        <f t="shared" si="4"/>
        <v>51268.333333333328</v>
      </c>
      <c r="K11" s="30">
        <f t="shared" si="4"/>
        <v>328923.05555555556</v>
      </c>
      <c r="L11" s="30">
        <f t="shared" si="4"/>
        <v>21996.898148148139</v>
      </c>
      <c r="M11" s="30">
        <f t="shared" si="4"/>
        <v>-25001.952160493827</v>
      </c>
      <c r="N11" s="30">
        <f t="shared" si="4"/>
        <v>-57993.944187242814</v>
      </c>
      <c r="O11" s="30">
        <f t="shared" si="4"/>
        <v>162827.06511488339</v>
      </c>
      <c r="P11" s="30">
        <f t="shared" si="4"/>
        <v>19569.909300697291</v>
      </c>
      <c r="Q11" s="30">
        <f t="shared" si="4"/>
        <v>-274646.49470474204</v>
      </c>
      <c r="R11" s="30">
        <f t="shared" si="4"/>
        <v>-143408.08641479167</v>
      </c>
      <c r="S11" s="30">
        <f t="shared" si="4"/>
        <v>-208942.25050861493</v>
      </c>
      <c r="T11" s="30">
        <f t="shared" si="4"/>
        <v>165967.69976669824</v>
      </c>
      <c r="U11" s="30">
        <f t="shared" si="4"/>
        <v>-287205.3595743117</v>
      </c>
      <c r="V11" s="30">
        <f t="shared" si="4"/>
        <v>-59244.097022510789</v>
      </c>
    </row>
    <row r="12" spans="2:22" x14ac:dyDescent="0.3">
      <c r="B12" s="32" t="s">
        <v>54</v>
      </c>
      <c r="C12" s="33"/>
      <c r="D12" s="34">
        <f t="shared" ref="D12:U12" si="5">SUM(D10:D11)</f>
        <v>174090</v>
      </c>
      <c r="E12" s="34">
        <f t="shared" si="5"/>
        <v>239110</v>
      </c>
      <c r="F12" s="34">
        <f t="shared" si="5"/>
        <v>43360</v>
      </c>
      <c r="G12" s="34">
        <f t="shared" si="5"/>
        <v>325260</v>
      </c>
      <c r="H12" s="34">
        <f t="shared" si="5"/>
        <v>215160</v>
      </c>
      <c r="I12" s="34">
        <f t="shared" si="5"/>
        <v>108940</v>
      </c>
      <c r="J12" s="34">
        <f t="shared" si="5"/>
        <v>160208.33333333331</v>
      </c>
      <c r="K12" s="34">
        <f t="shared" si="5"/>
        <v>489131.38888888888</v>
      </c>
      <c r="L12" s="34">
        <f t="shared" si="5"/>
        <v>511128.28703703702</v>
      </c>
      <c r="M12" s="34">
        <f t="shared" si="5"/>
        <v>486126.3348765432</v>
      </c>
      <c r="N12" s="34">
        <f t="shared" si="5"/>
        <v>428132.39068930037</v>
      </c>
      <c r="O12" s="34">
        <f t="shared" si="5"/>
        <v>590959.45580418373</v>
      </c>
      <c r="P12" s="34">
        <f t="shared" si="5"/>
        <v>610529.365104881</v>
      </c>
      <c r="Q12" s="34">
        <f t="shared" si="5"/>
        <v>335882.87040013896</v>
      </c>
      <c r="R12" s="34">
        <f t="shared" si="5"/>
        <v>192474.78398534728</v>
      </c>
      <c r="S12" s="34">
        <f t="shared" si="5"/>
        <v>-16467.466523267649</v>
      </c>
      <c r="T12" s="34">
        <f t="shared" si="5"/>
        <v>149500.23324343059</v>
      </c>
      <c r="U12" s="34">
        <f t="shared" si="5"/>
        <v>-137705.12633088112</v>
      </c>
      <c r="V12" s="34">
        <f t="shared" ref="V12" si="6">SUM(V10:V11)</f>
        <v>-196949.22335339192</v>
      </c>
    </row>
    <row r="13" spans="2:22" x14ac:dyDescent="0.3">
      <c r="B13" s="27" t="s">
        <v>55</v>
      </c>
      <c r="C13" s="28"/>
      <c r="D13" s="30">
        <f>INDEX('Rolling CF'!$1:$1048576,MATCH($B13,'Rolling CF'!$C:$C,0),MATCH(D$7,'Rolling CF'!$7:$7,0))</f>
        <v>174090</v>
      </c>
      <c r="E13" s="30">
        <f>INDEX('Rolling CF'!$1:$1048576,MATCH($B13,'Rolling CF'!$C:$C,0),MATCH(E$7,'Rolling CF'!$7:$7,0))</f>
        <v>239110</v>
      </c>
      <c r="F13" s="30">
        <f>INDEX('Rolling CF'!$1:$1048576,MATCH($B13,'Rolling CF'!$C:$C,0),MATCH(F$7,'Rolling CF'!$7:$7,0))</f>
        <v>43360</v>
      </c>
      <c r="G13" s="30">
        <f>INDEX('Rolling CF'!$1:$1048576,MATCH($B13,'Rolling CF'!$C:$C,0),MATCH(G$7,'Rolling CF'!$7:$7,0))</f>
        <v>325260</v>
      </c>
      <c r="H13" s="30">
        <f>INDEX('Rolling CF'!$1:$1048576,MATCH($B13,'Rolling CF'!$C:$C,0),MATCH(H$7,'Rolling CF'!$7:$7,0))</f>
        <v>215160</v>
      </c>
      <c r="I13" s="30">
        <f>INDEX('Rolling CF'!$1:$1048576,MATCH($B13,'Rolling CF'!$C:$C,0),MATCH(I$7,'Rolling CF'!$7:$7,0))</f>
        <v>108940</v>
      </c>
      <c r="J13" s="30">
        <f>INDEX('Rolling CF'!$1:$1048576,MATCH($B13,'Rolling CF'!$C:$C,0),MATCH(J$7,'Rolling CF'!$7:$7,0))</f>
        <v>0</v>
      </c>
      <c r="K13" s="30">
        <f>INDEX('Rolling CF'!$1:$1048576,MATCH($B13,'Rolling CF'!$C:$C,0),MATCH(K$7,'Rolling CF'!$7:$7,0))</f>
        <v>0</v>
      </c>
      <c r="L13" s="30">
        <f>INDEX('Rolling CF'!$1:$1048576,MATCH($B13,'Rolling CF'!$C:$C,0),MATCH(L$7,'Rolling CF'!$7:$7,0))</f>
        <v>0</v>
      </c>
      <c r="M13" s="30">
        <f>INDEX('Rolling CF'!$1:$1048576,MATCH($B13,'Rolling CF'!$C:$C,0),MATCH(M$7,'Rolling CF'!$7:$7,0))</f>
        <v>0</v>
      </c>
      <c r="N13" s="30">
        <f>INDEX('Rolling CF'!$1:$1048576,MATCH($B13,'Rolling CF'!$C:$C,0),MATCH(N$7,'Rolling CF'!$7:$7,0))</f>
        <v>0</v>
      </c>
      <c r="O13" s="30">
        <f>INDEX('Rolling CF'!$1:$1048576,MATCH($B13,'Rolling CF'!$C:$C,0),MATCH(O$7,'Rolling CF'!$7:$7,0))</f>
        <v>0</v>
      </c>
      <c r="P13" s="30">
        <f>INDEX('Rolling CF'!$1:$1048576,MATCH($B13,'Rolling CF'!$C:$C,0),MATCH(P$7,'Rolling CF'!$7:$7,0))</f>
        <v>0</v>
      </c>
      <c r="Q13" s="30">
        <f>INDEX('Rolling CF'!$1:$1048576,MATCH($B13,'Rolling CF'!$C:$C,0),MATCH(Q$7,'Rolling CF'!$7:$7,0))</f>
        <v>0</v>
      </c>
      <c r="R13" s="30">
        <f>INDEX('Rolling CF'!$1:$1048576,MATCH($B13,'Rolling CF'!$C:$C,0),MATCH(R$7,'Rolling CF'!$7:$7,0))</f>
        <v>0</v>
      </c>
      <c r="S13" s="30">
        <f>INDEX('Rolling CF'!$1:$1048576,MATCH($B13,'Rolling CF'!$C:$C,0),MATCH(S$7,'Rolling CF'!$7:$7,0))</f>
        <v>0</v>
      </c>
      <c r="T13" s="30">
        <f>INDEX('Rolling CF'!$1:$1048576,MATCH($B13,'Rolling CF'!$C:$C,0),MATCH(T$7,'Rolling CF'!$7:$7,0))</f>
        <v>0</v>
      </c>
      <c r="U13" s="30">
        <f>INDEX('Rolling CF'!$1:$1048576,MATCH($B13,'Rolling CF'!$C:$C,0),MATCH(U$7,'Rolling CF'!$7:$7,0))</f>
        <v>0</v>
      </c>
      <c r="V13" s="30">
        <f>INDEX('Rolling CF'!$1:$1048576,MATCH($B13,'Rolling CF'!$C:$C,0),MATCH(V$7,'Rolling CF'!$7:$7,0))</f>
        <v>0</v>
      </c>
    </row>
    <row r="14" spans="2:22" x14ac:dyDescent="0.3">
      <c r="B14" s="27" t="s">
        <v>56</v>
      </c>
      <c r="C14" s="28"/>
      <c r="D14" s="35">
        <f>IF(D$4="Forecast",0,D13-D12)</f>
        <v>0</v>
      </c>
      <c r="E14" s="35">
        <f t="shared" ref="E14:V14" si="7">IF(E$4="Forecast",0,E13-E12)</f>
        <v>0</v>
      </c>
      <c r="F14" s="35">
        <f t="shared" si="7"/>
        <v>0</v>
      </c>
      <c r="G14" s="35">
        <f t="shared" si="7"/>
        <v>0</v>
      </c>
      <c r="H14" s="35">
        <f t="shared" si="7"/>
        <v>0</v>
      </c>
      <c r="I14" s="35">
        <f t="shared" si="7"/>
        <v>0</v>
      </c>
      <c r="J14" s="35">
        <f t="shared" si="7"/>
        <v>0</v>
      </c>
      <c r="K14" s="35">
        <f t="shared" si="7"/>
        <v>0</v>
      </c>
      <c r="L14" s="35">
        <f t="shared" si="7"/>
        <v>0</v>
      </c>
      <c r="M14" s="35">
        <f t="shared" si="7"/>
        <v>0</v>
      </c>
      <c r="N14" s="35">
        <f t="shared" si="7"/>
        <v>0</v>
      </c>
      <c r="O14" s="35">
        <f t="shared" si="7"/>
        <v>0</v>
      </c>
      <c r="P14" s="35">
        <f t="shared" si="7"/>
        <v>0</v>
      </c>
      <c r="Q14" s="35">
        <f t="shared" si="7"/>
        <v>0</v>
      </c>
      <c r="R14" s="35">
        <f t="shared" si="7"/>
        <v>0</v>
      </c>
      <c r="S14" s="35">
        <f t="shared" si="7"/>
        <v>0</v>
      </c>
      <c r="T14" s="35">
        <f t="shared" si="7"/>
        <v>0</v>
      </c>
      <c r="U14" s="35">
        <f t="shared" si="7"/>
        <v>0</v>
      </c>
      <c r="V14" s="35">
        <f t="shared" si="7"/>
        <v>0</v>
      </c>
    </row>
    <row r="15" spans="2:22" x14ac:dyDescent="0.3">
      <c r="B15" s="27" t="s">
        <v>57</v>
      </c>
      <c r="C15" s="28"/>
      <c r="D15" s="30">
        <f>INDEX('Rolling CF'!$1:$1048576,MATCH($B15,'Rolling CF'!$C:$C,0),MATCH(D$7,'Rolling CF'!$7:$7,0))</f>
        <v>174090</v>
      </c>
      <c r="E15" s="30">
        <f>INDEX('Rolling CF'!$1:$1048576,MATCH($B15,'Rolling CF'!$C:$C,0),MATCH(E$7,'Rolling CF'!$7:$7,0))</f>
        <v>239110</v>
      </c>
      <c r="F15" s="30">
        <f>INDEX('Rolling CF'!$1:$1048576,MATCH($B15,'Rolling CF'!$C:$C,0),MATCH(F$7,'Rolling CF'!$7:$7,0))</f>
        <v>43360</v>
      </c>
      <c r="G15" s="30">
        <f>INDEX('Rolling CF'!$1:$1048576,MATCH($B15,'Rolling CF'!$C:$C,0),MATCH(G$7,'Rolling CF'!$7:$7,0))</f>
        <v>325260</v>
      </c>
      <c r="H15" s="30">
        <f>INDEX('Rolling CF'!$1:$1048576,MATCH($B15,'Rolling CF'!$C:$C,0),MATCH(H$7,'Rolling CF'!$7:$7,0))</f>
        <v>215160</v>
      </c>
      <c r="I15" s="30">
        <f>INDEX('Rolling CF'!$1:$1048576,MATCH($B15,'Rolling CF'!$C:$C,0),MATCH(I$7,'Rolling CF'!$7:$7,0))</f>
        <v>112041.66666666667</v>
      </c>
      <c r="J15" s="30">
        <f>INDEX('Rolling CF'!$1:$1048576,MATCH($B15,'Rolling CF'!$C:$C,0),MATCH(J$7,'Rolling CF'!$7:$7,0))</f>
        <v>156995.27777777778</v>
      </c>
      <c r="K15" s="30">
        <f>INDEX('Rolling CF'!$1:$1048576,MATCH($B15,'Rolling CF'!$C:$C,0),MATCH(K$7,'Rolling CF'!$7:$7,0))</f>
        <v>399451.15740740742</v>
      </c>
      <c r="L15" s="30">
        <f>INDEX('Rolling CF'!$1:$1048576,MATCH($B15,'Rolling CF'!$C:$C,0),MATCH(L$7,'Rolling CF'!$7:$7,0))</f>
        <v>415303.01697530865</v>
      </c>
      <c r="M15" s="30">
        <f>INDEX('Rolling CF'!$1:$1048576,MATCH($B15,'Rolling CF'!$C:$C,0),MATCH(M$7,'Rolling CF'!$7:$7,0))</f>
        <v>382731.85313786007</v>
      </c>
      <c r="N15" s="30">
        <f>INDEX('Rolling CF'!$1:$1048576,MATCH($B15,'Rolling CF'!$C:$C,0),MATCH(N$7,'Rolling CF'!$7:$7,0))</f>
        <v>316373.82866083673</v>
      </c>
      <c r="O15" s="30">
        <f>INDEX('Rolling CF'!$1:$1048576,MATCH($B15,'Rolling CF'!$C:$C,0),MATCH(O$7,'Rolling CF'!$7:$7,0))</f>
        <v>519442.80010430957</v>
      </c>
      <c r="P15" s="30">
        <f>INDEX('Rolling CF'!$1:$1048576,MATCH($B15,'Rolling CF'!$C:$C,0),MATCH(P$7,'Rolling CF'!$7:$7,0))</f>
        <v>532142.98901058338</v>
      </c>
      <c r="Q15" s="30">
        <f>INDEX('Rolling CF'!$1:$1048576,MATCH($B15,'Rolling CF'!$C:$C,0),MATCH(Q$7,'Rolling CF'!$7:$7,0))</f>
        <v>472334.27421605098</v>
      </c>
      <c r="R15" s="30">
        <f>INDEX('Rolling CF'!$1:$1048576,MATCH($B15,'Rolling CF'!$C:$C,0),MATCH(R$7,'Rolling CF'!$7:$7,0))</f>
        <v>279031.46035082493</v>
      </c>
      <c r="S15" s="30">
        <f>INDEX('Rolling CF'!$1:$1048576,MATCH($B15,'Rolling CF'!$C:$C,0),MATCH(S$7,'Rolling CF'!$7:$7,0))</f>
        <v>412252.86758007761</v>
      </c>
      <c r="T15" s="30">
        <f>INDEX('Rolling CF'!$1:$1048576,MATCH($B15,'Rolling CF'!$C:$C,0),MATCH(T$7,'Rolling CF'!$7:$7,0))</f>
        <v>580273.03665378049</v>
      </c>
      <c r="U15" s="30">
        <f>INDEX('Rolling CF'!$1:$1048576,MATCH($B15,'Rolling CF'!$C:$C,0),MATCH(U$7,'Rolling CF'!$7:$7,0))</f>
        <v>291189.57131927111</v>
      </c>
      <c r="V15" s="30">
        <f>INDEX('Rolling CF'!$1:$1048576,MATCH($B15,'Rolling CF'!$C:$C,0),MATCH(V$7,'Rolling CF'!$7:$7,0))</f>
        <v>0</v>
      </c>
    </row>
    <row r="16" spans="2:22" x14ac:dyDescent="0.3">
      <c r="B16" s="27"/>
      <c r="C16" s="2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 spans="2:22" x14ac:dyDescent="0.3">
      <c r="B17" s="27"/>
      <c r="C17" s="2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 spans="2:22" x14ac:dyDescent="0.3">
      <c r="B18" s="27"/>
      <c r="C18" s="2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 spans="2:22" x14ac:dyDescent="0.3">
      <c r="B19" s="27"/>
      <c r="C19" s="2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spans="2:22" x14ac:dyDescent="0.3">
      <c r="B20" s="27"/>
      <c r="C20" s="2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 spans="2:22" x14ac:dyDescent="0.3">
      <c r="B21" s="27"/>
      <c r="C21" s="2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 spans="2:22" x14ac:dyDescent="0.3">
      <c r="B22" s="27"/>
      <c r="C22" s="2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spans="2:22" x14ac:dyDescent="0.3">
      <c r="B23" s="27"/>
      <c r="C23" s="2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r="24" spans="2:22" x14ac:dyDescent="0.3">
      <c r="B24" s="27"/>
      <c r="C24" s="2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</row>
    <row r="25" spans="2:22" x14ac:dyDescent="0.3">
      <c r="B25" s="27"/>
      <c r="C25" s="2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</row>
    <row r="26" spans="2:22" x14ac:dyDescent="0.3">
      <c r="B26" s="27"/>
      <c r="C26" s="2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</row>
    <row r="27" spans="2:22" x14ac:dyDescent="0.3">
      <c r="B27" s="27"/>
      <c r="C27" s="28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</row>
    <row r="28" spans="2:22" x14ac:dyDescent="0.3">
      <c r="B28" s="27"/>
      <c r="C28" s="28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</row>
    <row r="29" spans="2:22" x14ac:dyDescent="0.3">
      <c r="B29" s="27"/>
      <c r="C29" s="28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2:22" x14ac:dyDescent="0.3">
      <c r="B30" s="27"/>
      <c r="C30" s="28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spans="2:22" x14ac:dyDescent="0.3">
      <c r="B31" s="27"/>
      <c r="C31" s="28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</row>
    <row r="32" spans="2:22" x14ac:dyDescent="0.3">
      <c r="B32" s="27"/>
      <c r="C32" s="28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</row>
    <row r="33" spans="2:22" x14ac:dyDescent="0.3">
      <c r="C33" s="28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</row>
    <row r="34" spans="2:22" ht="14.5" x14ac:dyDescent="0.45">
      <c r="B34" s="20" t="s">
        <v>58</v>
      </c>
      <c r="C34" s="37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</row>
    <row r="35" spans="2:22" x14ac:dyDescent="0.3">
      <c r="B35" s="27" t="s">
        <v>59</v>
      </c>
      <c r="C35" s="28" t="s">
        <v>233</v>
      </c>
      <c r="D35" s="30">
        <f>INDEX('Rolling CF'!$1:$1048576,MATCH($B35,'Rolling CF'!$C:$C,0),MATCH(D$7,'Rolling CF'!$7:$7,0))</f>
        <v>372100</v>
      </c>
      <c r="E35" s="30">
        <f>INDEX('Rolling CF'!$1:$1048576,MATCH($B35,'Rolling CF'!$C:$C,0),MATCH(E$7,'Rolling CF'!$7:$7,0))</f>
        <v>210150</v>
      </c>
      <c r="F35" s="30">
        <f>INDEX('Rolling CF'!$1:$1048576,MATCH($B35,'Rolling CF'!$C:$C,0),MATCH(F$7,'Rolling CF'!$7:$7,0))</f>
        <v>0</v>
      </c>
      <c r="G35" s="30">
        <f>INDEX('Rolling CF'!$1:$1048576,MATCH($B35,'Rolling CF'!$C:$C,0),MATCH(G$7,'Rolling CF'!$7:$7,0))</f>
        <v>361430</v>
      </c>
      <c r="H35" s="30">
        <f>INDEX('Rolling CF'!$1:$1048576,MATCH($B35,'Rolling CF'!$C:$C,0),MATCH(H$7,'Rolling CF'!$7:$7,0))</f>
        <v>68440</v>
      </c>
      <c r="I35" s="30">
        <f>INDEX('Rolling CF'!$1:$1048576,MATCH($B35,'Rolling CF'!$C:$C,0),MATCH(I$7,'Rolling CF'!$7:$7,0))</f>
        <v>389470</v>
      </c>
      <c r="J35" s="30">
        <f>INDEX('Rolling CF'!$1:$1048576,MATCH($B35,'Rolling CF'!$C:$C,0),MATCH(J$7,'Rolling CF'!$7:$7,0))</f>
        <v>120000</v>
      </c>
      <c r="K35" s="30">
        <f>INDEX('Rolling CF'!$1:$1048576,MATCH($B35,'Rolling CF'!$C:$C,0),MATCH(K$7,'Rolling CF'!$7:$7,0))</f>
        <v>554000</v>
      </c>
      <c r="L35" s="30">
        <f>INDEX('Rolling CF'!$1:$1048576,MATCH($B35,'Rolling CF'!$C:$C,0),MATCH(L$7,'Rolling CF'!$7:$7,0))</f>
        <v>80000</v>
      </c>
      <c r="M35" s="30">
        <f>INDEX('Rolling CF'!$1:$1048576,MATCH($B35,'Rolling CF'!$C:$C,0),MATCH(M$7,'Rolling CF'!$7:$7,0))</f>
        <v>198400</v>
      </c>
      <c r="N35" s="30">
        <f>INDEX('Rolling CF'!$1:$1048576,MATCH($B35,'Rolling CF'!$C:$C,0),MATCH(N$7,'Rolling CF'!$7:$7,0))</f>
        <v>0</v>
      </c>
      <c r="O35" s="30">
        <f>INDEX('Rolling CF'!$1:$1048576,MATCH($B35,'Rolling CF'!$C:$C,0),MATCH(O$7,'Rolling CF'!$7:$7,0))</f>
        <v>271800</v>
      </c>
      <c r="P35" s="30">
        <f>INDEX('Rolling CF'!$1:$1048576,MATCH($B35,'Rolling CF'!$C:$C,0),MATCH(P$7,'Rolling CF'!$7:$7,0))</f>
        <v>80000</v>
      </c>
      <c r="Q35" s="30">
        <f>INDEX('Rolling CF'!$1:$1048576,MATCH($B35,'Rolling CF'!$C:$C,0),MATCH(Q$7,'Rolling CF'!$7:$7,0))</f>
        <v>0</v>
      </c>
      <c r="R35" s="30">
        <f>INDEX('Rolling CF'!$1:$1048576,MATCH($B35,'Rolling CF'!$C:$C,0),MATCH(R$7,'Rolling CF'!$7:$7,0))</f>
        <v>48000</v>
      </c>
      <c r="S35" s="30">
        <f>INDEX('Rolling CF'!$1:$1048576,MATCH($B35,'Rolling CF'!$C:$C,0),MATCH(S$7,'Rolling CF'!$7:$7,0))</f>
        <v>0</v>
      </c>
      <c r="T35" s="30">
        <f>INDEX('Rolling CF'!$1:$1048576,MATCH($B35,'Rolling CF'!$C:$C,0),MATCH(T$7,'Rolling CF'!$7:$7,0))</f>
        <v>325000</v>
      </c>
      <c r="U35" s="30">
        <f>INDEX('Rolling CF'!$1:$1048576,MATCH($B35,'Rolling CF'!$C:$C,0),MATCH(U$7,'Rolling CF'!$7:$7,0))</f>
        <v>0</v>
      </c>
      <c r="V35" s="30">
        <f>INDEX('Rolling CF'!$1:$1048576,MATCH($B35,'Rolling CF'!$C:$C,0),MATCH(V$7,'Rolling CF'!$7:$7,0))</f>
        <v>0</v>
      </c>
    </row>
    <row r="36" spans="2:22" x14ac:dyDescent="0.3">
      <c r="B36" s="27" t="s">
        <v>60</v>
      </c>
      <c r="C36" s="28" t="s">
        <v>61</v>
      </c>
      <c r="D36" s="30">
        <f>INDEX('Rolling CF'!$1:$1048576,MATCH($B36,'Rolling CF'!$C:$C,0),MATCH(D$7,'Rolling CF'!$7:$7,0))</f>
        <v>0</v>
      </c>
      <c r="E36" s="30">
        <f>INDEX('Rolling CF'!$1:$1048576,MATCH($B36,'Rolling CF'!$C:$C,0),MATCH(E$7,'Rolling CF'!$7:$7,0))</f>
        <v>0</v>
      </c>
      <c r="F36" s="30">
        <f>INDEX('Rolling CF'!$1:$1048576,MATCH($B36,'Rolling CF'!$C:$C,0),MATCH(F$7,'Rolling CF'!$7:$7,0))</f>
        <v>0</v>
      </c>
      <c r="G36" s="30">
        <f>INDEX('Rolling CF'!$1:$1048576,MATCH($B36,'Rolling CF'!$C:$C,0),MATCH(G$7,'Rolling CF'!$7:$7,0))</f>
        <v>0</v>
      </c>
      <c r="H36" s="30">
        <f>INDEX('Rolling CF'!$1:$1048576,MATCH($B36,'Rolling CF'!$C:$C,0),MATCH(H$7,'Rolling CF'!$7:$7,0))</f>
        <v>0</v>
      </c>
      <c r="I36" s="30">
        <f>INDEX('Rolling CF'!$1:$1048576,MATCH($B36,'Rolling CF'!$C:$C,0),MATCH(I$7,'Rolling CF'!$7:$7,0))</f>
        <v>0</v>
      </c>
      <c r="J36" s="30">
        <f>INDEX('Rolling CF'!$1:$1048576,MATCH($B36,'Rolling CF'!$C:$C,0),MATCH(J$7,'Rolling CF'!$7:$7,0))</f>
        <v>0</v>
      </c>
      <c r="K36" s="30">
        <f>INDEX('Rolling CF'!$1:$1048576,MATCH($B36,'Rolling CF'!$C:$C,0),MATCH(K$7,'Rolling CF'!$7:$7,0))</f>
        <v>0</v>
      </c>
      <c r="L36" s="30">
        <f>INDEX('Rolling CF'!$1:$1048576,MATCH($B36,'Rolling CF'!$C:$C,0),MATCH(L$7,'Rolling CF'!$7:$7,0))</f>
        <v>0</v>
      </c>
      <c r="M36" s="30">
        <f>INDEX('Rolling CF'!$1:$1048576,MATCH($B36,'Rolling CF'!$C:$C,0),MATCH(M$7,'Rolling CF'!$7:$7,0))</f>
        <v>0</v>
      </c>
      <c r="N36" s="30">
        <f>INDEX('Rolling CF'!$1:$1048576,MATCH($B36,'Rolling CF'!$C:$C,0),MATCH(N$7,'Rolling CF'!$7:$7,0))</f>
        <v>0</v>
      </c>
      <c r="O36" s="30">
        <f>INDEX('Rolling CF'!$1:$1048576,MATCH($B36,'Rolling CF'!$C:$C,0),MATCH(O$7,'Rolling CF'!$7:$7,0))</f>
        <v>0</v>
      </c>
      <c r="P36" s="30">
        <f>INDEX('Rolling CF'!$1:$1048576,MATCH($B36,'Rolling CF'!$C:$C,0),MATCH(P$7,'Rolling CF'!$7:$7,0))</f>
        <v>0</v>
      </c>
      <c r="Q36" s="30">
        <f>INDEX('Rolling CF'!$1:$1048576,MATCH($B36,'Rolling CF'!$C:$C,0),MATCH(Q$7,'Rolling CF'!$7:$7,0))</f>
        <v>0</v>
      </c>
      <c r="R36" s="30">
        <f>INDEX('Rolling CF'!$1:$1048576,MATCH($B36,'Rolling CF'!$C:$C,0),MATCH(R$7,'Rolling CF'!$7:$7,0))</f>
        <v>0</v>
      </c>
      <c r="S36" s="30">
        <f>INDEX('Rolling CF'!$1:$1048576,MATCH($B36,'Rolling CF'!$C:$C,0),MATCH(S$7,'Rolling CF'!$7:$7,0))</f>
        <v>0</v>
      </c>
      <c r="T36" s="30">
        <f>INDEX('Rolling CF'!$1:$1048576,MATCH($B36,'Rolling CF'!$C:$C,0),MATCH(T$7,'Rolling CF'!$7:$7,0))</f>
        <v>0</v>
      </c>
      <c r="U36" s="30">
        <f>INDEX('Rolling CF'!$1:$1048576,MATCH($B36,'Rolling CF'!$C:$C,0),MATCH(U$7,'Rolling CF'!$7:$7,0))</f>
        <v>0</v>
      </c>
      <c r="V36" s="30">
        <f>INDEX('Rolling CF'!$1:$1048576,MATCH($B36,'Rolling CF'!$C:$C,0),MATCH(V$7,'Rolling CF'!$7:$7,0))</f>
        <v>0</v>
      </c>
    </row>
    <row r="37" spans="2:22" x14ac:dyDescent="0.3">
      <c r="B37" s="27"/>
      <c r="C37" s="2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spans="2:22" x14ac:dyDescent="0.3">
      <c r="B38" s="40" t="s">
        <v>62</v>
      </c>
      <c r="C38" s="41"/>
      <c r="D38" s="42">
        <f t="shared" ref="D38:V38" si="8">SUM(D35:D37)</f>
        <v>372100</v>
      </c>
      <c r="E38" s="42">
        <f t="shared" si="8"/>
        <v>210150</v>
      </c>
      <c r="F38" s="42">
        <f t="shared" si="8"/>
        <v>0</v>
      </c>
      <c r="G38" s="42">
        <f t="shared" si="8"/>
        <v>361430</v>
      </c>
      <c r="H38" s="42">
        <f t="shared" si="8"/>
        <v>68440</v>
      </c>
      <c r="I38" s="42">
        <f t="shared" si="8"/>
        <v>389470</v>
      </c>
      <c r="J38" s="42">
        <f t="shared" si="8"/>
        <v>120000</v>
      </c>
      <c r="K38" s="42">
        <f t="shared" si="8"/>
        <v>554000</v>
      </c>
      <c r="L38" s="42">
        <f t="shared" si="8"/>
        <v>80000</v>
      </c>
      <c r="M38" s="42">
        <f t="shared" si="8"/>
        <v>198400</v>
      </c>
      <c r="N38" s="42">
        <f t="shared" si="8"/>
        <v>0</v>
      </c>
      <c r="O38" s="42">
        <f t="shared" si="8"/>
        <v>271800</v>
      </c>
      <c r="P38" s="42">
        <f t="shared" si="8"/>
        <v>80000</v>
      </c>
      <c r="Q38" s="42">
        <f t="shared" si="8"/>
        <v>0</v>
      </c>
      <c r="R38" s="42">
        <f t="shared" si="8"/>
        <v>48000</v>
      </c>
      <c r="S38" s="42">
        <f t="shared" si="8"/>
        <v>0</v>
      </c>
      <c r="T38" s="42">
        <f t="shared" si="8"/>
        <v>325000</v>
      </c>
      <c r="U38" s="42">
        <f t="shared" si="8"/>
        <v>0</v>
      </c>
      <c r="V38" s="42">
        <f t="shared" si="8"/>
        <v>0</v>
      </c>
    </row>
    <row r="39" spans="2:22" x14ac:dyDescent="0.3">
      <c r="C39" s="28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spans="2:22" ht="14.5" x14ac:dyDescent="0.45">
      <c r="B40" s="20" t="s">
        <v>63</v>
      </c>
      <c r="C40" s="37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spans="2:22" x14ac:dyDescent="0.3">
      <c r="B41" s="27" t="s">
        <v>64</v>
      </c>
      <c r="C41" s="70" t="s">
        <v>234</v>
      </c>
      <c r="D41" s="30">
        <f>INDEX('Rolling CF'!$1:$1048576,MATCH($B41,'Rolling CF'!$C:$C,0),MATCH(D$7,'Rolling CF'!$7:$7,0))</f>
        <v>-83210</v>
      </c>
      <c r="E41" s="30">
        <f>INDEX('Rolling CF'!$1:$1048576,MATCH($B41,'Rolling CF'!$C:$C,0),MATCH(E$7,'Rolling CF'!$7:$7,0))</f>
        <v>-69810</v>
      </c>
      <c r="F41" s="30">
        <f>INDEX('Rolling CF'!$1:$1048576,MATCH($B41,'Rolling CF'!$C:$C,0),MATCH(F$7,'Rolling CF'!$7:$7,0))</f>
        <v>-40140</v>
      </c>
      <c r="G41" s="30">
        <f>INDEX('Rolling CF'!$1:$1048576,MATCH($B41,'Rolling CF'!$C:$C,0),MATCH(G$7,'Rolling CF'!$7:$7,0))</f>
        <v>-18680</v>
      </c>
      <c r="H41" s="30">
        <f>INDEX('Rolling CF'!$1:$1048576,MATCH($B41,'Rolling CF'!$C:$C,0),MATCH(H$7,'Rolling CF'!$7:$7,0))</f>
        <v>-88580</v>
      </c>
      <c r="I41" s="30">
        <f>INDEX('Rolling CF'!$1:$1048576,MATCH($B41,'Rolling CF'!$C:$C,0),MATCH(I$7,'Rolling CF'!$7:$7,0))</f>
        <v>-89740</v>
      </c>
      <c r="J41" s="30">
        <f>INDEX('Rolling CF'!$1:$1048576,MATCH($B41,'Rolling CF'!$C:$C,0),MATCH(J$7,'Rolling CF'!$7:$7,0))</f>
        <v>0</v>
      </c>
      <c r="K41" s="30">
        <f>INDEX('Rolling CF'!$1:$1048576,MATCH($B41,'Rolling CF'!$C:$C,0),MATCH(K$7,'Rolling CF'!$7:$7,0))</f>
        <v>-164600</v>
      </c>
      <c r="L41" s="30">
        <f>INDEX('Rolling CF'!$1:$1048576,MATCH($B41,'Rolling CF'!$C:$C,0),MATCH(L$7,'Rolling CF'!$7:$7,0))</f>
        <v>0</v>
      </c>
      <c r="M41" s="30">
        <f>INDEX('Rolling CF'!$1:$1048576,MATCH($B41,'Rolling CF'!$C:$C,0),MATCH(M$7,'Rolling CF'!$7:$7,0))</f>
        <v>0</v>
      </c>
      <c r="N41" s="30">
        <f>INDEX('Rolling CF'!$1:$1048576,MATCH($B41,'Rolling CF'!$C:$C,0),MATCH(N$7,'Rolling CF'!$7:$7,0))</f>
        <v>0</v>
      </c>
      <c r="O41" s="30">
        <f>INDEX('Rolling CF'!$1:$1048576,MATCH($B41,'Rolling CF'!$C:$C,0),MATCH(O$7,'Rolling CF'!$7:$7,0))</f>
        <v>-50000</v>
      </c>
      <c r="P41" s="30">
        <f>INDEX('Rolling CF'!$1:$1048576,MATCH($B41,'Rolling CF'!$C:$C,0),MATCH(P$7,'Rolling CF'!$7:$7,0))</f>
        <v>0</v>
      </c>
      <c r="Q41" s="30">
        <f>INDEX('Rolling CF'!$1:$1048576,MATCH($B41,'Rolling CF'!$C:$C,0),MATCH(Q$7,'Rolling CF'!$7:$7,0))</f>
        <v>0</v>
      </c>
      <c r="R41" s="30">
        <f>INDEX('Rolling CF'!$1:$1048576,MATCH($B41,'Rolling CF'!$C:$C,0),MATCH(R$7,'Rolling CF'!$7:$7,0))</f>
        <v>-132600</v>
      </c>
      <c r="S41" s="30">
        <f>INDEX('Rolling CF'!$1:$1048576,MATCH($B41,'Rolling CF'!$C:$C,0),MATCH(S$7,'Rolling CF'!$7:$7,0))</f>
        <v>-150000</v>
      </c>
      <c r="T41" s="30">
        <f>INDEX('Rolling CF'!$1:$1048576,MATCH($B41,'Rolling CF'!$C:$C,0),MATCH(T$7,'Rolling CF'!$7:$7,0))</f>
        <v>-100000</v>
      </c>
      <c r="U41" s="30">
        <f>INDEX('Rolling CF'!$1:$1048576,MATCH($B41,'Rolling CF'!$C:$C,0),MATCH(U$7,'Rolling CF'!$7:$7,0))</f>
        <v>0</v>
      </c>
      <c r="V41" s="30">
        <f>INDEX('Rolling CF'!$1:$1048576,MATCH($B41,'Rolling CF'!$C:$C,0),MATCH(V$7,'Rolling CF'!$7:$7,0))</f>
        <v>0</v>
      </c>
    </row>
    <row r="42" spans="2:22" x14ac:dyDescent="0.3">
      <c r="B42" s="27" t="s">
        <v>65</v>
      </c>
      <c r="C42" s="70" t="s">
        <v>234</v>
      </c>
      <c r="D42" s="30">
        <f>INDEX('Rolling CF'!$1:$1048576,MATCH($B42,'Rolling CF'!$C:$C,0),MATCH(D$7,'Rolling CF'!$7:$7,0))</f>
        <v>-194090</v>
      </c>
      <c r="E42" s="30">
        <f>INDEX('Rolling CF'!$1:$1048576,MATCH($B42,'Rolling CF'!$C:$C,0),MATCH(E$7,'Rolling CF'!$7:$7,0))</f>
        <v>0</v>
      </c>
      <c r="F42" s="30">
        <f>INDEX('Rolling CF'!$1:$1048576,MATCH($B42,'Rolling CF'!$C:$C,0),MATCH(F$7,'Rolling CF'!$7:$7,0))</f>
        <v>-100000</v>
      </c>
      <c r="G42" s="30">
        <f>INDEX('Rolling CF'!$1:$1048576,MATCH($B42,'Rolling CF'!$C:$C,0),MATCH(G$7,'Rolling CF'!$7:$7,0))</f>
        <v>0</v>
      </c>
      <c r="H42" s="30">
        <f>INDEX('Rolling CF'!$1:$1048576,MATCH($B42,'Rolling CF'!$C:$C,0),MATCH(H$7,'Rolling CF'!$7:$7,0))</f>
        <v>-32000</v>
      </c>
      <c r="I42" s="30">
        <f>INDEX('Rolling CF'!$1:$1048576,MATCH($B42,'Rolling CF'!$C:$C,0),MATCH(I$7,'Rolling CF'!$7:$7,0))</f>
        <v>-350210</v>
      </c>
      <c r="J42" s="30">
        <f>INDEX('Rolling CF'!$1:$1048576,MATCH($B42,'Rolling CF'!$C:$C,0),MATCH(J$7,'Rolling CF'!$7:$7,0))</f>
        <v>0</v>
      </c>
      <c r="K42" s="30">
        <f>INDEX('Rolling CF'!$1:$1048576,MATCH($B42,'Rolling CF'!$C:$C,0),MATCH(K$7,'Rolling CF'!$7:$7,0))</f>
        <v>0</v>
      </c>
      <c r="L42" s="30">
        <f>INDEX('Rolling CF'!$1:$1048576,MATCH($B42,'Rolling CF'!$C:$C,0),MATCH(L$7,'Rolling CF'!$7:$7,0))</f>
        <v>0</v>
      </c>
      <c r="M42" s="30">
        <f>INDEX('Rolling CF'!$1:$1048576,MATCH($B42,'Rolling CF'!$C:$C,0),MATCH(M$7,'Rolling CF'!$7:$7,0))</f>
        <v>-153000</v>
      </c>
      <c r="N42" s="30">
        <f>INDEX('Rolling CF'!$1:$1048576,MATCH($B42,'Rolling CF'!$C:$C,0),MATCH(N$7,'Rolling CF'!$7:$7,0))</f>
        <v>0</v>
      </c>
      <c r="O42" s="30">
        <f>INDEX('Rolling CF'!$1:$1048576,MATCH($B42,'Rolling CF'!$C:$C,0),MATCH(O$7,'Rolling CF'!$7:$7,0))</f>
        <v>0</v>
      </c>
      <c r="P42" s="30">
        <f>INDEX('Rolling CF'!$1:$1048576,MATCH($B42,'Rolling CF'!$C:$C,0),MATCH(P$7,'Rolling CF'!$7:$7,0))</f>
        <v>0</v>
      </c>
      <c r="Q42" s="30">
        <f>INDEX('Rolling CF'!$1:$1048576,MATCH($B42,'Rolling CF'!$C:$C,0),MATCH(Q$7,'Rolling CF'!$7:$7,0))</f>
        <v>-203600</v>
      </c>
      <c r="R42" s="30">
        <f>INDEX('Rolling CF'!$1:$1048576,MATCH($B42,'Rolling CF'!$C:$C,0),MATCH(R$7,'Rolling CF'!$7:$7,0))</f>
        <v>0</v>
      </c>
      <c r="S42" s="30">
        <f>INDEX('Rolling CF'!$1:$1048576,MATCH($B42,'Rolling CF'!$C:$C,0),MATCH(S$7,'Rolling CF'!$7:$7,0))</f>
        <v>0</v>
      </c>
      <c r="T42" s="30">
        <f>INDEX('Rolling CF'!$1:$1048576,MATCH($B42,'Rolling CF'!$C:$C,0),MATCH(T$7,'Rolling CF'!$7:$7,0))</f>
        <v>0</v>
      </c>
      <c r="U42" s="30">
        <f>INDEX('Rolling CF'!$1:$1048576,MATCH($B42,'Rolling CF'!$C:$C,0),MATCH(U$7,'Rolling CF'!$7:$7,0))</f>
        <v>-216000</v>
      </c>
      <c r="V42" s="30">
        <f>INDEX('Rolling CF'!$1:$1048576,MATCH($B42,'Rolling CF'!$C:$C,0),MATCH(V$7,'Rolling CF'!$7:$7,0))</f>
        <v>0</v>
      </c>
    </row>
    <row r="43" spans="2:22" x14ac:dyDescent="0.3">
      <c r="B43" s="27" t="s">
        <v>66</v>
      </c>
      <c r="C43" s="28" t="s">
        <v>67</v>
      </c>
      <c r="D43" s="30">
        <f>INDEX('Rolling CF'!$1:$1048576,MATCH($B43,'Rolling CF'!$C:$C,0),MATCH(D$7,'Rolling CF'!$7:$7,0))</f>
        <v>-78050</v>
      </c>
      <c r="E43" s="30">
        <f>INDEX('Rolling CF'!$1:$1048576,MATCH($B43,'Rolling CF'!$C:$C,0),MATCH(E$7,'Rolling CF'!$7:$7,0))</f>
        <v>-51670</v>
      </c>
      <c r="F43" s="30">
        <f>INDEX('Rolling CF'!$1:$1048576,MATCH($B43,'Rolling CF'!$C:$C,0),MATCH(F$7,'Rolling CF'!$7:$7,0))</f>
        <v>-39960</v>
      </c>
      <c r="G43" s="30">
        <f>INDEX('Rolling CF'!$1:$1048576,MATCH($B43,'Rolling CF'!$C:$C,0),MATCH(G$7,'Rolling CF'!$7:$7,0))</f>
        <v>-44380</v>
      </c>
      <c r="H43" s="30">
        <f>INDEX('Rolling CF'!$1:$1048576,MATCH($B43,'Rolling CF'!$C:$C,0),MATCH(H$7,'Rolling CF'!$7:$7,0))</f>
        <v>-35340</v>
      </c>
      <c r="I43" s="30">
        <f>INDEX('Rolling CF'!$1:$1048576,MATCH($B43,'Rolling CF'!$C:$C,0),MATCH(I$7,'Rolling CF'!$7:$7,0))</f>
        <v>-35660</v>
      </c>
      <c r="J43" s="30">
        <f>INDEX('Rolling CF'!$1:$1048576,MATCH($B43,'Rolling CF'!$C:$C,0),MATCH(J$7,'Rolling CF'!$7:$7,0))</f>
        <v>-47510</v>
      </c>
      <c r="K43" s="30">
        <f>INDEX('Rolling CF'!$1:$1048576,MATCH($B43,'Rolling CF'!$C:$C,0),MATCH(K$7,'Rolling CF'!$7:$7,0))</f>
        <v>-42420</v>
      </c>
      <c r="L43" s="30">
        <f>INDEX('Rolling CF'!$1:$1048576,MATCH($B43,'Rolling CF'!$C:$C,0),MATCH(L$7,'Rolling CF'!$7:$7,0))</f>
        <v>-40878.333333333336</v>
      </c>
      <c r="M43" s="30">
        <f>INDEX('Rolling CF'!$1:$1048576,MATCH($B43,'Rolling CF'!$C:$C,0),MATCH(M$7,'Rolling CF'!$7:$7,0))</f>
        <v>-41031.388888888891</v>
      </c>
      <c r="N43" s="30">
        <f>INDEX('Rolling CF'!$1:$1048576,MATCH($B43,'Rolling CF'!$C:$C,0),MATCH(N$7,'Rolling CF'!$7:$7,0))</f>
        <v>-40473.287037037044</v>
      </c>
      <c r="O43" s="30">
        <f>INDEX('Rolling CF'!$1:$1048576,MATCH($B43,'Rolling CF'!$C:$C,0),MATCH(O$7,'Rolling CF'!$7:$7,0))</f>
        <v>-41328.834876543217</v>
      </c>
      <c r="P43" s="30">
        <f>INDEX('Rolling CF'!$1:$1048576,MATCH($B43,'Rolling CF'!$C:$C,0),MATCH(P$7,'Rolling CF'!$7:$7,0))</f>
        <v>-42273.640689300424</v>
      </c>
      <c r="Q43" s="30">
        <f>INDEX('Rolling CF'!$1:$1048576,MATCH($B43,'Rolling CF'!$C:$C,0),MATCH(Q$7,'Rolling CF'!$7:$7,0))</f>
        <v>-41400.914137517153</v>
      </c>
      <c r="R43" s="30">
        <f>INDEX('Rolling CF'!$1:$1048576,MATCH($B43,'Rolling CF'!$C:$C,0),MATCH(R$7,'Rolling CF'!$7:$7,0))</f>
        <v>-41231.066493770013</v>
      </c>
      <c r="S43" s="30">
        <f>INDEX('Rolling CF'!$1:$1048576,MATCH($B43,'Rolling CF'!$C:$C,0),MATCH(S$7,'Rolling CF'!$7:$7,0))</f>
        <v>-41289.855353842788</v>
      </c>
      <c r="T43" s="30">
        <f>INDEX('Rolling CF'!$1:$1048576,MATCH($B43,'Rolling CF'!$C:$C,0),MATCH(T$7,'Rolling CF'!$7:$7,0))</f>
        <v>-41332.933098001777</v>
      </c>
      <c r="U43" s="30">
        <f>INDEX('Rolling CF'!$1:$1048576,MATCH($B43,'Rolling CF'!$C:$C,0),MATCH(U$7,'Rolling CF'!$7:$7,0))</f>
        <v>-41476.207441495899</v>
      </c>
      <c r="V43" s="30">
        <f>INDEX('Rolling CF'!$1:$1048576,MATCH($B43,'Rolling CF'!$C:$C,0),MATCH(V$7,'Rolling CF'!$7:$7,0))</f>
        <v>-41500.769535654676</v>
      </c>
    </row>
    <row r="44" spans="2:22" x14ac:dyDescent="0.3">
      <c r="B44" s="27" t="s">
        <v>68</v>
      </c>
      <c r="C44" s="28" t="s">
        <v>61</v>
      </c>
      <c r="D44" s="30">
        <f>INDEX('Rolling CF'!$1:$1048576,MATCH($B44,'Rolling CF'!$C:$C,0),MATCH(D$7,'Rolling CF'!$7:$7,0))</f>
        <v>0</v>
      </c>
      <c r="E44" s="30">
        <f>INDEX('Rolling CF'!$1:$1048576,MATCH($B44,'Rolling CF'!$C:$C,0),MATCH(E$7,'Rolling CF'!$7:$7,0))</f>
        <v>0</v>
      </c>
      <c r="F44" s="30">
        <f>INDEX('Rolling CF'!$1:$1048576,MATCH($B44,'Rolling CF'!$C:$C,0),MATCH(F$7,'Rolling CF'!$7:$7,0))</f>
        <v>0</v>
      </c>
      <c r="G44" s="30">
        <f>INDEX('Rolling CF'!$1:$1048576,MATCH($B44,'Rolling CF'!$C:$C,0),MATCH(G$7,'Rolling CF'!$7:$7,0))</f>
        <v>0</v>
      </c>
      <c r="H44" s="30">
        <f>INDEX('Rolling CF'!$1:$1048576,MATCH($B44,'Rolling CF'!$C:$C,0),MATCH(H$7,'Rolling CF'!$7:$7,0))</f>
        <v>0</v>
      </c>
      <c r="I44" s="30">
        <f>INDEX('Rolling CF'!$1:$1048576,MATCH($B44,'Rolling CF'!$C:$C,0),MATCH(I$7,'Rolling CF'!$7:$7,0))</f>
        <v>0</v>
      </c>
      <c r="J44" s="30">
        <f>INDEX('Rolling CF'!$1:$1048576,MATCH($B44,'Rolling CF'!$C:$C,0),MATCH(J$7,'Rolling CF'!$7:$7,0))</f>
        <v>0</v>
      </c>
      <c r="K44" s="30">
        <f>INDEX('Rolling CF'!$1:$1048576,MATCH($B44,'Rolling CF'!$C:$C,0),MATCH(K$7,'Rolling CF'!$7:$7,0))</f>
        <v>0</v>
      </c>
      <c r="L44" s="30">
        <f>INDEX('Rolling CF'!$1:$1048576,MATCH($B44,'Rolling CF'!$C:$C,0),MATCH(L$7,'Rolling CF'!$7:$7,0))</f>
        <v>0</v>
      </c>
      <c r="M44" s="30">
        <f>INDEX('Rolling CF'!$1:$1048576,MATCH($B44,'Rolling CF'!$C:$C,0),MATCH(M$7,'Rolling CF'!$7:$7,0))</f>
        <v>0</v>
      </c>
      <c r="N44" s="30">
        <f>INDEX('Rolling CF'!$1:$1048576,MATCH($B44,'Rolling CF'!$C:$C,0),MATCH(N$7,'Rolling CF'!$7:$7,0))</f>
        <v>0</v>
      </c>
      <c r="O44" s="30">
        <f>INDEX('Rolling CF'!$1:$1048576,MATCH($B44,'Rolling CF'!$C:$C,0),MATCH(O$7,'Rolling CF'!$7:$7,0))</f>
        <v>0</v>
      </c>
      <c r="P44" s="30">
        <f>INDEX('Rolling CF'!$1:$1048576,MATCH($B44,'Rolling CF'!$C:$C,0),MATCH(P$7,'Rolling CF'!$7:$7,0))</f>
        <v>0</v>
      </c>
      <c r="Q44" s="30">
        <f>INDEX('Rolling CF'!$1:$1048576,MATCH($B44,'Rolling CF'!$C:$C,0),MATCH(Q$7,'Rolling CF'!$7:$7,0))</f>
        <v>0</v>
      </c>
      <c r="R44" s="30">
        <f>INDEX('Rolling CF'!$1:$1048576,MATCH($B44,'Rolling CF'!$C:$C,0),MATCH(R$7,'Rolling CF'!$7:$7,0))</f>
        <v>0</v>
      </c>
      <c r="S44" s="30">
        <f>INDEX('Rolling CF'!$1:$1048576,MATCH($B44,'Rolling CF'!$C:$C,0),MATCH(S$7,'Rolling CF'!$7:$7,0))</f>
        <v>0</v>
      </c>
      <c r="T44" s="30">
        <f>INDEX('Rolling CF'!$1:$1048576,MATCH($B44,'Rolling CF'!$C:$C,0),MATCH(T$7,'Rolling CF'!$7:$7,0))</f>
        <v>0</v>
      </c>
      <c r="U44" s="30">
        <f>INDEX('Rolling CF'!$1:$1048576,MATCH($B44,'Rolling CF'!$C:$C,0),MATCH(U$7,'Rolling CF'!$7:$7,0))</f>
        <v>0</v>
      </c>
      <c r="V44" s="30">
        <f>INDEX('Rolling CF'!$1:$1048576,MATCH($B44,'Rolling CF'!$C:$C,0),MATCH(V$7,'Rolling CF'!$7:$7,0))</f>
        <v>0</v>
      </c>
    </row>
    <row r="45" spans="2:22" x14ac:dyDescent="0.3">
      <c r="B45" s="27" t="s">
        <v>69</v>
      </c>
      <c r="C45" s="28" t="s">
        <v>67</v>
      </c>
      <c r="D45" s="30">
        <f>INDEX('Rolling CF'!$1:$1048576,MATCH($B45,'Rolling CF'!$C:$C,0),MATCH(D$7,'Rolling CF'!$7:$7,0))</f>
        <v>-310</v>
      </c>
      <c r="E45" s="30">
        <f>INDEX('Rolling CF'!$1:$1048576,MATCH($B45,'Rolling CF'!$C:$C,0),MATCH(E$7,'Rolling CF'!$7:$7,0))</f>
        <v>-310</v>
      </c>
      <c r="F45" s="30">
        <f>INDEX('Rolling CF'!$1:$1048576,MATCH($B45,'Rolling CF'!$C:$C,0),MATCH(F$7,'Rolling CF'!$7:$7,0))</f>
        <v>-310</v>
      </c>
      <c r="G45" s="30">
        <f>INDEX('Rolling CF'!$1:$1048576,MATCH($B45,'Rolling CF'!$C:$C,0),MATCH(G$7,'Rolling CF'!$7:$7,0))</f>
        <v>-310</v>
      </c>
      <c r="H45" s="30">
        <f>INDEX('Rolling CF'!$1:$1048576,MATCH($B45,'Rolling CF'!$C:$C,0),MATCH(H$7,'Rolling CF'!$7:$7,0))</f>
        <v>-310</v>
      </c>
      <c r="I45" s="30">
        <f>INDEX('Rolling CF'!$1:$1048576,MATCH($B45,'Rolling CF'!$C:$C,0),MATCH(I$7,'Rolling CF'!$7:$7,0))</f>
        <v>-310</v>
      </c>
      <c r="J45" s="30">
        <f>INDEX('Rolling CF'!$1:$1048576,MATCH($B45,'Rolling CF'!$C:$C,0),MATCH(J$7,'Rolling CF'!$7:$7,0))</f>
        <v>-310</v>
      </c>
      <c r="K45" s="30">
        <f>INDEX('Rolling CF'!$1:$1048576,MATCH($B45,'Rolling CF'!$C:$C,0),MATCH(K$7,'Rolling CF'!$7:$7,0))</f>
        <v>-310</v>
      </c>
      <c r="L45" s="30">
        <f>INDEX('Rolling CF'!$1:$1048576,MATCH($B45,'Rolling CF'!$C:$C,0),MATCH(L$7,'Rolling CF'!$7:$7,0))</f>
        <v>-310</v>
      </c>
      <c r="M45" s="30">
        <f>INDEX('Rolling CF'!$1:$1048576,MATCH($B45,'Rolling CF'!$C:$C,0),MATCH(M$7,'Rolling CF'!$7:$7,0))</f>
        <v>-310</v>
      </c>
      <c r="N45" s="30">
        <f>INDEX('Rolling CF'!$1:$1048576,MATCH($B45,'Rolling CF'!$C:$C,0),MATCH(N$7,'Rolling CF'!$7:$7,0))</f>
        <v>-310</v>
      </c>
      <c r="O45" s="30">
        <f>INDEX('Rolling CF'!$1:$1048576,MATCH($B45,'Rolling CF'!$C:$C,0),MATCH(O$7,'Rolling CF'!$7:$7,0))</f>
        <v>-310</v>
      </c>
      <c r="P45" s="30">
        <f>INDEX('Rolling CF'!$1:$1048576,MATCH($B45,'Rolling CF'!$C:$C,0),MATCH(P$7,'Rolling CF'!$7:$7,0))</f>
        <v>-310</v>
      </c>
      <c r="Q45" s="30">
        <f>INDEX('Rolling CF'!$1:$1048576,MATCH($B45,'Rolling CF'!$C:$C,0),MATCH(Q$7,'Rolling CF'!$7:$7,0))</f>
        <v>-310</v>
      </c>
      <c r="R45" s="30">
        <f>INDEX('Rolling CF'!$1:$1048576,MATCH($B45,'Rolling CF'!$C:$C,0),MATCH(R$7,'Rolling CF'!$7:$7,0))</f>
        <v>-310</v>
      </c>
      <c r="S45" s="30">
        <f>INDEX('Rolling CF'!$1:$1048576,MATCH($B45,'Rolling CF'!$C:$C,0),MATCH(S$7,'Rolling CF'!$7:$7,0))</f>
        <v>-310</v>
      </c>
      <c r="T45" s="30">
        <f>INDEX('Rolling CF'!$1:$1048576,MATCH($B45,'Rolling CF'!$C:$C,0),MATCH(T$7,'Rolling CF'!$7:$7,0))</f>
        <v>-310</v>
      </c>
      <c r="U45" s="30">
        <f>INDEX('Rolling CF'!$1:$1048576,MATCH($B45,'Rolling CF'!$C:$C,0),MATCH(U$7,'Rolling CF'!$7:$7,0))</f>
        <v>-310</v>
      </c>
      <c r="V45" s="30">
        <f>INDEX('Rolling CF'!$1:$1048576,MATCH($B45,'Rolling CF'!$C:$C,0),MATCH(V$7,'Rolling CF'!$7:$7,0))</f>
        <v>-310</v>
      </c>
    </row>
    <row r="46" spans="2:22" x14ac:dyDescent="0.3">
      <c r="B46" s="27" t="s">
        <v>70</v>
      </c>
      <c r="C46" s="28" t="s">
        <v>61</v>
      </c>
      <c r="D46" s="30">
        <f>INDEX('Rolling CF'!$1:$1048576,MATCH($B46,'Rolling CF'!$C:$C,0),MATCH(D$7,'Rolling CF'!$7:$7,0))</f>
        <v>0</v>
      </c>
      <c r="E46" s="30">
        <f>INDEX('Rolling CF'!$1:$1048576,MATCH($B46,'Rolling CF'!$C:$C,0),MATCH(E$7,'Rolling CF'!$7:$7,0))</f>
        <v>0</v>
      </c>
      <c r="F46" s="30">
        <f>INDEX('Rolling CF'!$1:$1048576,MATCH($B46,'Rolling CF'!$C:$C,0),MATCH(F$7,'Rolling CF'!$7:$7,0))</f>
        <v>0</v>
      </c>
      <c r="G46" s="30">
        <f>INDEX('Rolling CF'!$1:$1048576,MATCH($B46,'Rolling CF'!$C:$C,0),MATCH(G$7,'Rolling CF'!$7:$7,0))</f>
        <v>0</v>
      </c>
      <c r="H46" s="30">
        <f>INDEX('Rolling CF'!$1:$1048576,MATCH($B46,'Rolling CF'!$C:$C,0),MATCH(H$7,'Rolling CF'!$7:$7,0))</f>
        <v>0</v>
      </c>
      <c r="I46" s="30">
        <f>INDEX('Rolling CF'!$1:$1048576,MATCH($B46,'Rolling CF'!$C:$C,0),MATCH(I$7,'Rolling CF'!$7:$7,0))</f>
        <v>0</v>
      </c>
      <c r="J46" s="30">
        <f>INDEX('Rolling CF'!$1:$1048576,MATCH($B46,'Rolling CF'!$C:$C,0),MATCH(J$7,'Rolling CF'!$7:$7,0))</f>
        <v>0</v>
      </c>
      <c r="K46" s="30">
        <f>INDEX('Rolling CF'!$1:$1048576,MATCH($B46,'Rolling CF'!$C:$C,0),MATCH(K$7,'Rolling CF'!$7:$7,0))</f>
        <v>0</v>
      </c>
      <c r="L46" s="30">
        <f>INDEX('Rolling CF'!$1:$1048576,MATCH($B46,'Rolling CF'!$C:$C,0),MATCH(L$7,'Rolling CF'!$7:$7,0))</f>
        <v>0</v>
      </c>
      <c r="M46" s="30">
        <f>INDEX('Rolling CF'!$1:$1048576,MATCH($B46,'Rolling CF'!$C:$C,0),MATCH(M$7,'Rolling CF'!$7:$7,0))</f>
        <v>0</v>
      </c>
      <c r="N46" s="30">
        <f>INDEX('Rolling CF'!$1:$1048576,MATCH($B46,'Rolling CF'!$C:$C,0),MATCH(N$7,'Rolling CF'!$7:$7,0))</f>
        <v>0</v>
      </c>
      <c r="O46" s="30">
        <f>INDEX('Rolling CF'!$1:$1048576,MATCH($B46,'Rolling CF'!$C:$C,0),MATCH(O$7,'Rolling CF'!$7:$7,0))</f>
        <v>0</v>
      </c>
      <c r="P46" s="30">
        <f>INDEX('Rolling CF'!$1:$1048576,MATCH($B46,'Rolling CF'!$C:$C,0),MATCH(P$7,'Rolling CF'!$7:$7,0))</f>
        <v>0</v>
      </c>
      <c r="Q46" s="30">
        <f>INDEX('Rolling CF'!$1:$1048576,MATCH($B46,'Rolling CF'!$C:$C,0),MATCH(Q$7,'Rolling CF'!$7:$7,0))</f>
        <v>0</v>
      </c>
      <c r="R46" s="30">
        <f>INDEX('Rolling CF'!$1:$1048576,MATCH($B46,'Rolling CF'!$C:$C,0),MATCH(R$7,'Rolling CF'!$7:$7,0))</f>
        <v>0</v>
      </c>
      <c r="S46" s="30">
        <f>INDEX('Rolling CF'!$1:$1048576,MATCH($B46,'Rolling CF'!$C:$C,0),MATCH(S$7,'Rolling CF'!$7:$7,0))</f>
        <v>0</v>
      </c>
      <c r="T46" s="30">
        <f>INDEX('Rolling CF'!$1:$1048576,MATCH($B46,'Rolling CF'!$C:$C,0),MATCH(T$7,'Rolling CF'!$7:$7,0))</f>
        <v>0</v>
      </c>
      <c r="U46" s="30">
        <f>INDEX('Rolling CF'!$1:$1048576,MATCH($B46,'Rolling CF'!$C:$C,0),MATCH(U$7,'Rolling CF'!$7:$7,0))</f>
        <v>0</v>
      </c>
      <c r="V46" s="30">
        <f>INDEX('Rolling CF'!$1:$1048576,MATCH($B46,'Rolling CF'!$C:$C,0),MATCH(V$7,'Rolling CF'!$7:$7,0))</f>
        <v>0</v>
      </c>
    </row>
    <row r="47" spans="2:22" x14ac:dyDescent="0.3">
      <c r="B47" s="27" t="s">
        <v>71</v>
      </c>
      <c r="C47" s="28" t="s">
        <v>67</v>
      </c>
      <c r="D47" s="30">
        <f>INDEX('Rolling CF'!$1:$1048576,MATCH($B47,'Rolling CF'!$C:$C,0),MATCH(D$7,'Rolling CF'!$7:$7,0))</f>
        <v>-1350</v>
      </c>
      <c r="E47" s="30">
        <f>INDEX('Rolling CF'!$1:$1048576,MATCH($B47,'Rolling CF'!$C:$C,0),MATCH(E$7,'Rolling CF'!$7:$7,0))</f>
        <v>0</v>
      </c>
      <c r="F47" s="30">
        <f>INDEX('Rolling CF'!$1:$1048576,MATCH($B47,'Rolling CF'!$C:$C,0),MATCH(F$7,'Rolling CF'!$7:$7,0))</f>
        <v>0</v>
      </c>
      <c r="G47" s="30">
        <f>INDEX('Rolling CF'!$1:$1048576,MATCH($B47,'Rolling CF'!$C:$C,0),MATCH(G$7,'Rolling CF'!$7:$7,0))</f>
        <v>-1350</v>
      </c>
      <c r="H47" s="30">
        <f>INDEX('Rolling CF'!$1:$1048576,MATCH($B47,'Rolling CF'!$C:$C,0),MATCH(H$7,'Rolling CF'!$7:$7,0))</f>
        <v>-1350</v>
      </c>
      <c r="I47" s="30">
        <f>INDEX('Rolling CF'!$1:$1048576,MATCH($B47,'Rolling CF'!$C:$C,0),MATCH(I$7,'Rolling CF'!$7:$7,0))</f>
        <v>0</v>
      </c>
      <c r="J47" s="30">
        <f>INDEX('Rolling CF'!$1:$1048576,MATCH($B47,'Rolling CF'!$C:$C,0),MATCH(J$7,'Rolling CF'!$7:$7,0))</f>
        <v>-675</v>
      </c>
      <c r="K47" s="30">
        <f>INDEX('Rolling CF'!$1:$1048576,MATCH($B47,'Rolling CF'!$C:$C,0),MATCH(K$7,'Rolling CF'!$7:$7,0))</f>
        <v>-562.5</v>
      </c>
      <c r="L47" s="30">
        <f>INDEX('Rolling CF'!$1:$1048576,MATCH($B47,'Rolling CF'!$C:$C,0),MATCH(L$7,'Rolling CF'!$7:$7,0))</f>
        <v>-656.25</v>
      </c>
      <c r="M47" s="30">
        <f>INDEX('Rolling CF'!$1:$1048576,MATCH($B47,'Rolling CF'!$C:$C,0),MATCH(M$7,'Rolling CF'!$7:$7,0))</f>
        <v>-765.625</v>
      </c>
      <c r="N47" s="30">
        <f>INDEX('Rolling CF'!$1:$1048576,MATCH($B47,'Rolling CF'!$C:$C,0),MATCH(N$7,'Rolling CF'!$7:$7,0))</f>
        <v>-668.22916666666663</v>
      </c>
      <c r="O47" s="30">
        <f>INDEX('Rolling CF'!$1:$1048576,MATCH($B47,'Rolling CF'!$C:$C,0),MATCH(O$7,'Rolling CF'!$7:$7,0))</f>
        <v>-554.60069444444446</v>
      </c>
      <c r="P47" s="30">
        <f>INDEX('Rolling CF'!$1:$1048576,MATCH($B47,'Rolling CF'!$C:$C,0),MATCH(P$7,'Rolling CF'!$7:$7,0))</f>
        <v>-647.03414351851848</v>
      </c>
      <c r="Q47" s="30">
        <f>INDEX('Rolling CF'!$1:$1048576,MATCH($B47,'Rolling CF'!$C:$C,0),MATCH(Q$7,'Rolling CF'!$7:$7,0))</f>
        <v>-642.37316743827159</v>
      </c>
      <c r="R47" s="30">
        <f>INDEX('Rolling CF'!$1:$1048576,MATCH($B47,'Rolling CF'!$C:$C,0),MATCH(R$7,'Rolling CF'!$7:$7,0))</f>
        <v>-655.6853620113169</v>
      </c>
      <c r="S47" s="30">
        <f>INDEX('Rolling CF'!$1:$1048576,MATCH($B47,'Rolling CF'!$C:$C,0),MATCH(S$7,'Rolling CF'!$7:$7,0))</f>
        <v>-655.59125567986973</v>
      </c>
      <c r="T47" s="30">
        <f>INDEX('Rolling CF'!$1:$1048576,MATCH($B47,'Rolling CF'!$C:$C,0),MATCH(T$7,'Rolling CF'!$7:$7,0))</f>
        <v>-637.2522982931813</v>
      </c>
      <c r="U47" s="30">
        <f>INDEX('Rolling CF'!$1:$1048576,MATCH($B47,'Rolling CF'!$C:$C,0),MATCH(U$7,'Rolling CF'!$7:$7,0))</f>
        <v>-632.08948689760052</v>
      </c>
      <c r="V47" s="30">
        <f>INDEX('Rolling CF'!$1:$1048576,MATCH($B47,'Rolling CF'!$C:$C,0),MATCH(V$7,'Rolling CF'!$7:$7,0))</f>
        <v>-645.00428563979312</v>
      </c>
    </row>
    <row r="48" spans="2:22" x14ac:dyDescent="0.3">
      <c r="B48" s="27" t="s">
        <v>72</v>
      </c>
      <c r="C48" s="28" t="s">
        <v>67</v>
      </c>
      <c r="D48" s="30">
        <f>INDEX('Rolling CF'!$1:$1048576,MATCH($B48,'Rolling CF'!$C:$C,0),MATCH(D$7,'Rolling CF'!$7:$7,0))</f>
        <v>-1510</v>
      </c>
      <c r="E48" s="30">
        <f>INDEX('Rolling CF'!$1:$1048576,MATCH($B48,'Rolling CF'!$C:$C,0),MATCH(E$7,'Rolling CF'!$7:$7,0))</f>
        <v>-1020</v>
      </c>
      <c r="F48" s="30">
        <f>INDEX('Rolling CF'!$1:$1048576,MATCH($B48,'Rolling CF'!$C:$C,0),MATCH(F$7,'Rolling CF'!$7:$7,0))</f>
        <v>0</v>
      </c>
      <c r="G48" s="30">
        <f>INDEX('Rolling CF'!$1:$1048576,MATCH($B48,'Rolling CF'!$C:$C,0),MATCH(G$7,'Rolling CF'!$7:$7,0))</f>
        <v>0</v>
      </c>
      <c r="H48" s="30">
        <f>INDEX('Rolling CF'!$1:$1048576,MATCH($B48,'Rolling CF'!$C:$C,0),MATCH(H$7,'Rolling CF'!$7:$7,0))</f>
        <v>-1510</v>
      </c>
      <c r="I48" s="30">
        <f>INDEX('Rolling CF'!$1:$1048576,MATCH($B48,'Rolling CF'!$C:$C,0),MATCH(I$7,'Rolling CF'!$7:$7,0))</f>
        <v>0</v>
      </c>
      <c r="J48" s="30">
        <f>INDEX('Rolling CF'!$1:$1048576,MATCH($B48,'Rolling CF'!$C:$C,0),MATCH(J$7,'Rolling CF'!$7:$7,0))</f>
        <v>-673.33333333333337</v>
      </c>
      <c r="K48" s="30">
        <f>INDEX('Rolling CF'!$1:$1048576,MATCH($B48,'Rolling CF'!$C:$C,0),MATCH(K$7,'Rolling CF'!$7:$7,0))</f>
        <v>-533.88888888888891</v>
      </c>
      <c r="L48" s="30">
        <f>INDEX('Rolling CF'!$1:$1048576,MATCH($B48,'Rolling CF'!$C:$C,0),MATCH(L$7,'Rolling CF'!$7:$7,0))</f>
        <v>-452.87037037037044</v>
      </c>
      <c r="M48" s="30">
        <f>INDEX('Rolling CF'!$1:$1048576,MATCH($B48,'Rolling CF'!$C:$C,0),MATCH(M$7,'Rolling CF'!$7:$7,0))</f>
        <v>-528.34876543209884</v>
      </c>
      <c r="N48" s="30">
        <f>INDEX('Rolling CF'!$1:$1048576,MATCH($B48,'Rolling CF'!$C:$C,0),MATCH(N$7,'Rolling CF'!$7:$7,0))</f>
        <v>-616.40689300411532</v>
      </c>
      <c r="O48" s="30">
        <f>INDEX('Rolling CF'!$1:$1048576,MATCH($B48,'Rolling CF'!$C:$C,0),MATCH(O$7,'Rolling CF'!$7:$7,0))</f>
        <v>-467.47470850480113</v>
      </c>
      <c r="P48" s="30">
        <f>INDEX('Rolling CF'!$1:$1048576,MATCH($B48,'Rolling CF'!$C:$C,0),MATCH(P$7,'Rolling CF'!$7:$7,0))</f>
        <v>-545.38715992226798</v>
      </c>
      <c r="Q48" s="30">
        <f>INDEX('Rolling CF'!$1:$1048576,MATCH($B48,'Rolling CF'!$C:$C,0),MATCH(Q$7,'Rolling CF'!$7:$7,0))</f>
        <v>-524.06279768709044</v>
      </c>
      <c r="R48" s="30">
        <f>INDEX('Rolling CF'!$1:$1048576,MATCH($B48,'Rolling CF'!$C:$C,0),MATCH(R$7,'Rolling CF'!$7:$7,0))</f>
        <v>-522.42511582012401</v>
      </c>
      <c r="S48" s="30">
        <f>INDEX('Rolling CF'!$1:$1048576,MATCH($B48,'Rolling CF'!$C:$C,0),MATCH(S$7,'Rolling CF'!$7:$7,0))</f>
        <v>-534.01757339508299</v>
      </c>
      <c r="T48" s="30">
        <f>INDEX('Rolling CF'!$1:$1048576,MATCH($B48,'Rolling CF'!$C:$C,0),MATCH(T$7,'Rolling CF'!$7:$7,0))</f>
        <v>-534.96237472224709</v>
      </c>
      <c r="U48" s="30">
        <f>INDEX('Rolling CF'!$1:$1048576,MATCH($B48,'Rolling CF'!$C:$C,0),MATCH(U$7,'Rolling CF'!$7:$7,0))</f>
        <v>-521.38828834193566</v>
      </c>
      <c r="V48" s="30">
        <f>INDEX('Rolling CF'!$1:$1048576,MATCH($B48,'Rolling CF'!$C:$C,0),MATCH(V$7,'Rolling CF'!$7:$7,0))</f>
        <v>-530.37388498145799</v>
      </c>
    </row>
    <row r="49" spans="2:22" x14ac:dyDescent="0.3">
      <c r="B49" s="27" t="s">
        <v>73</v>
      </c>
      <c r="C49" s="28" t="s">
        <v>61</v>
      </c>
      <c r="D49" s="30">
        <f>INDEX('Rolling CF'!$1:$1048576,MATCH($B49,'Rolling CF'!$C:$C,0),MATCH(D$7,'Rolling CF'!$7:$7,0))</f>
        <v>0</v>
      </c>
      <c r="E49" s="30">
        <f>INDEX('Rolling CF'!$1:$1048576,MATCH($B49,'Rolling CF'!$C:$C,0),MATCH(E$7,'Rolling CF'!$7:$7,0))</f>
        <v>0</v>
      </c>
      <c r="F49" s="30">
        <f>INDEX('Rolling CF'!$1:$1048576,MATCH($B49,'Rolling CF'!$C:$C,0),MATCH(F$7,'Rolling CF'!$7:$7,0))</f>
        <v>0</v>
      </c>
      <c r="G49" s="30">
        <f>INDEX('Rolling CF'!$1:$1048576,MATCH($B49,'Rolling CF'!$C:$C,0),MATCH(G$7,'Rolling CF'!$7:$7,0))</f>
        <v>0</v>
      </c>
      <c r="H49" s="30">
        <f>INDEX('Rolling CF'!$1:$1048576,MATCH($B49,'Rolling CF'!$C:$C,0),MATCH(H$7,'Rolling CF'!$7:$7,0))</f>
        <v>0</v>
      </c>
      <c r="I49" s="30">
        <f>INDEX('Rolling CF'!$1:$1048576,MATCH($B49,'Rolling CF'!$C:$C,0),MATCH(I$7,'Rolling CF'!$7:$7,0))</f>
        <v>0</v>
      </c>
      <c r="J49" s="30">
        <f>INDEX('Rolling CF'!$1:$1048576,MATCH($B49,'Rolling CF'!$C:$C,0),MATCH(J$7,'Rolling CF'!$7:$7,0))</f>
        <v>0</v>
      </c>
      <c r="K49" s="30">
        <f>INDEX('Rolling CF'!$1:$1048576,MATCH($B49,'Rolling CF'!$C:$C,0),MATCH(K$7,'Rolling CF'!$7:$7,0))</f>
        <v>0</v>
      </c>
      <c r="L49" s="30">
        <f>INDEX('Rolling CF'!$1:$1048576,MATCH($B49,'Rolling CF'!$C:$C,0),MATCH(L$7,'Rolling CF'!$7:$7,0))</f>
        <v>0</v>
      </c>
      <c r="M49" s="30">
        <f>INDEX('Rolling CF'!$1:$1048576,MATCH($B49,'Rolling CF'!$C:$C,0),MATCH(M$7,'Rolling CF'!$7:$7,0))</f>
        <v>0</v>
      </c>
      <c r="N49" s="30">
        <f>INDEX('Rolling CF'!$1:$1048576,MATCH($B49,'Rolling CF'!$C:$C,0),MATCH(N$7,'Rolling CF'!$7:$7,0))</f>
        <v>0</v>
      </c>
      <c r="O49" s="30">
        <f>INDEX('Rolling CF'!$1:$1048576,MATCH($B49,'Rolling CF'!$C:$C,0),MATCH(O$7,'Rolling CF'!$7:$7,0))</f>
        <v>0</v>
      </c>
      <c r="P49" s="30">
        <f>INDEX('Rolling CF'!$1:$1048576,MATCH($B49,'Rolling CF'!$C:$C,0),MATCH(P$7,'Rolling CF'!$7:$7,0))</f>
        <v>0</v>
      </c>
      <c r="Q49" s="30">
        <f>INDEX('Rolling CF'!$1:$1048576,MATCH($B49,'Rolling CF'!$C:$C,0),MATCH(Q$7,'Rolling CF'!$7:$7,0))</f>
        <v>0</v>
      </c>
      <c r="R49" s="30">
        <f>INDEX('Rolling CF'!$1:$1048576,MATCH($B49,'Rolling CF'!$C:$C,0),MATCH(R$7,'Rolling CF'!$7:$7,0))</f>
        <v>0</v>
      </c>
      <c r="S49" s="30">
        <f>INDEX('Rolling CF'!$1:$1048576,MATCH($B49,'Rolling CF'!$C:$C,0),MATCH(S$7,'Rolling CF'!$7:$7,0))</f>
        <v>0</v>
      </c>
      <c r="T49" s="30">
        <f>INDEX('Rolling CF'!$1:$1048576,MATCH($B49,'Rolling CF'!$C:$C,0),MATCH(T$7,'Rolling CF'!$7:$7,0))</f>
        <v>0</v>
      </c>
      <c r="U49" s="30">
        <f>INDEX('Rolling CF'!$1:$1048576,MATCH($B49,'Rolling CF'!$C:$C,0),MATCH(U$7,'Rolling CF'!$7:$7,0))</f>
        <v>0</v>
      </c>
      <c r="V49" s="30">
        <f>INDEX('Rolling CF'!$1:$1048576,MATCH($B49,'Rolling CF'!$C:$C,0),MATCH(V$7,'Rolling CF'!$7:$7,0))</f>
        <v>0</v>
      </c>
    </row>
    <row r="50" spans="2:22" x14ac:dyDescent="0.3">
      <c r="B50" s="27" t="s">
        <v>74</v>
      </c>
      <c r="C50" s="28" t="s">
        <v>75</v>
      </c>
      <c r="D50" s="30">
        <f>INDEX('Rolling CF'!$1:$1048576,MATCH($B50,'Rolling CF'!$C:$C,0),MATCH(D$7,'Rolling CF'!$7:$7,0))</f>
        <v>-5000</v>
      </c>
      <c r="E50" s="30">
        <f>INDEX('Rolling CF'!$1:$1048576,MATCH($B50,'Rolling CF'!$C:$C,0),MATCH(E$7,'Rolling CF'!$7:$7,0))</f>
        <v>0</v>
      </c>
      <c r="F50" s="30">
        <f>INDEX('Rolling CF'!$1:$1048576,MATCH($B50,'Rolling CF'!$C:$C,0),MATCH(F$7,'Rolling CF'!$7:$7,0))</f>
        <v>0</v>
      </c>
      <c r="G50" s="30">
        <f>INDEX('Rolling CF'!$1:$1048576,MATCH($B50,'Rolling CF'!$C:$C,0),MATCH(G$7,'Rolling CF'!$7:$7,0))</f>
        <v>0</v>
      </c>
      <c r="H50" s="30">
        <f>INDEX('Rolling CF'!$1:$1048576,MATCH($B50,'Rolling CF'!$C:$C,0),MATCH(H$7,'Rolling CF'!$7:$7,0))</f>
        <v>0</v>
      </c>
      <c r="I50" s="30">
        <f>INDEX('Rolling CF'!$1:$1048576,MATCH($B50,'Rolling CF'!$C:$C,0),MATCH(I$7,'Rolling CF'!$7:$7,0))</f>
        <v>-5000</v>
      </c>
      <c r="J50" s="30">
        <f>INDEX('Rolling CF'!$1:$1048576,MATCH($B50,'Rolling CF'!$C:$C,0),MATCH(J$7,'Rolling CF'!$7:$7,0))</f>
        <v>0</v>
      </c>
      <c r="K50" s="30">
        <f>INDEX('Rolling CF'!$1:$1048576,MATCH($B50,'Rolling CF'!$C:$C,0),MATCH(K$7,'Rolling CF'!$7:$7,0))</f>
        <v>0</v>
      </c>
      <c r="L50" s="30">
        <f>INDEX('Rolling CF'!$1:$1048576,MATCH($B50,'Rolling CF'!$C:$C,0),MATCH(L$7,'Rolling CF'!$7:$7,0))</f>
        <v>0</v>
      </c>
      <c r="M50" s="30">
        <f>INDEX('Rolling CF'!$1:$1048576,MATCH($B50,'Rolling CF'!$C:$C,0),MATCH(M$7,'Rolling CF'!$7:$7,0))</f>
        <v>-5000</v>
      </c>
      <c r="N50" s="30">
        <f>INDEX('Rolling CF'!$1:$1048576,MATCH($B50,'Rolling CF'!$C:$C,0),MATCH(N$7,'Rolling CF'!$7:$7,0))</f>
        <v>0</v>
      </c>
      <c r="O50" s="30">
        <f>INDEX('Rolling CF'!$1:$1048576,MATCH($B50,'Rolling CF'!$C:$C,0),MATCH(O$7,'Rolling CF'!$7:$7,0))</f>
        <v>0</v>
      </c>
      <c r="P50" s="30">
        <f>INDEX('Rolling CF'!$1:$1048576,MATCH($B50,'Rolling CF'!$C:$C,0),MATCH(P$7,'Rolling CF'!$7:$7,0))</f>
        <v>0</v>
      </c>
      <c r="Q50" s="30">
        <f>INDEX('Rolling CF'!$1:$1048576,MATCH($B50,'Rolling CF'!$C:$C,0),MATCH(Q$7,'Rolling CF'!$7:$7,0))</f>
        <v>-5000</v>
      </c>
      <c r="R50" s="30">
        <f>INDEX('Rolling CF'!$1:$1048576,MATCH($B50,'Rolling CF'!$C:$C,0),MATCH(R$7,'Rolling CF'!$7:$7,0))</f>
        <v>0</v>
      </c>
      <c r="S50" s="30">
        <f>INDEX('Rolling CF'!$1:$1048576,MATCH($B50,'Rolling CF'!$C:$C,0),MATCH(S$7,'Rolling CF'!$7:$7,0))</f>
        <v>0</v>
      </c>
      <c r="T50" s="30">
        <f>INDEX('Rolling CF'!$1:$1048576,MATCH($B50,'Rolling CF'!$C:$C,0),MATCH(T$7,'Rolling CF'!$7:$7,0))</f>
        <v>0</v>
      </c>
      <c r="U50" s="30">
        <f>INDEX('Rolling CF'!$1:$1048576,MATCH($B50,'Rolling CF'!$C:$C,0),MATCH(U$7,'Rolling CF'!$7:$7,0))</f>
        <v>-5000</v>
      </c>
      <c r="V50" s="30">
        <f>INDEX('Rolling CF'!$1:$1048576,MATCH($B50,'Rolling CF'!$C:$C,0),MATCH(V$7,'Rolling CF'!$7:$7,0))</f>
        <v>0</v>
      </c>
    </row>
    <row r="51" spans="2:22" x14ac:dyDescent="0.3">
      <c r="B51" s="27" t="s">
        <v>76</v>
      </c>
      <c r="C51" s="28" t="s">
        <v>61</v>
      </c>
      <c r="D51" s="30">
        <f>INDEX('Rolling CF'!$1:$1048576,MATCH($B51,'Rolling CF'!$C:$C,0),MATCH(D$7,'Rolling CF'!$7:$7,0))</f>
        <v>0</v>
      </c>
      <c r="E51" s="30">
        <f>INDEX('Rolling CF'!$1:$1048576,MATCH($B51,'Rolling CF'!$C:$C,0),MATCH(E$7,'Rolling CF'!$7:$7,0))</f>
        <v>0</v>
      </c>
      <c r="F51" s="30">
        <f>INDEX('Rolling CF'!$1:$1048576,MATCH($B51,'Rolling CF'!$C:$C,0),MATCH(F$7,'Rolling CF'!$7:$7,0))</f>
        <v>0</v>
      </c>
      <c r="G51" s="30">
        <f>INDEX('Rolling CF'!$1:$1048576,MATCH($B51,'Rolling CF'!$C:$C,0),MATCH(G$7,'Rolling CF'!$7:$7,0))</f>
        <v>0</v>
      </c>
      <c r="H51" s="30">
        <f>INDEX('Rolling CF'!$1:$1048576,MATCH($B51,'Rolling CF'!$C:$C,0),MATCH(H$7,'Rolling CF'!$7:$7,0))</f>
        <v>0</v>
      </c>
      <c r="I51" s="30">
        <f>INDEX('Rolling CF'!$1:$1048576,MATCH($B51,'Rolling CF'!$C:$C,0),MATCH(I$7,'Rolling CF'!$7:$7,0))</f>
        <v>0</v>
      </c>
      <c r="J51" s="30">
        <f>INDEX('Rolling CF'!$1:$1048576,MATCH($B51,'Rolling CF'!$C:$C,0),MATCH(J$7,'Rolling CF'!$7:$7,0))</f>
        <v>0</v>
      </c>
      <c r="K51" s="30">
        <f>INDEX('Rolling CF'!$1:$1048576,MATCH($B51,'Rolling CF'!$C:$C,0),MATCH(K$7,'Rolling CF'!$7:$7,0))</f>
        <v>0</v>
      </c>
      <c r="L51" s="30">
        <f>INDEX('Rolling CF'!$1:$1048576,MATCH($B51,'Rolling CF'!$C:$C,0),MATCH(L$7,'Rolling CF'!$7:$7,0))</f>
        <v>0</v>
      </c>
      <c r="M51" s="30">
        <f>INDEX('Rolling CF'!$1:$1048576,MATCH($B51,'Rolling CF'!$C:$C,0),MATCH(M$7,'Rolling CF'!$7:$7,0))</f>
        <v>0</v>
      </c>
      <c r="N51" s="30">
        <f>INDEX('Rolling CF'!$1:$1048576,MATCH($B51,'Rolling CF'!$C:$C,0),MATCH(N$7,'Rolling CF'!$7:$7,0))</f>
        <v>0</v>
      </c>
      <c r="O51" s="30">
        <f>INDEX('Rolling CF'!$1:$1048576,MATCH($B51,'Rolling CF'!$C:$C,0),MATCH(O$7,'Rolling CF'!$7:$7,0))</f>
        <v>0</v>
      </c>
      <c r="P51" s="30">
        <f>INDEX('Rolling CF'!$1:$1048576,MATCH($B51,'Rolling CF'!$C:$C,0),MATCH(P$7,'Rolling CF'!$7:$7,0))</f>
        <v>0</v>
      </c>
      <c r="Q51" s="30">
        <f>INDEX('Rolling CF'!$1:$1048576,MATCH($B51,'Rolling CF'!$C:$C,0),MATCH(Q$7,'Rolling CF'!$7:$7,0))</f>
        <v>0</v>
      </c>
      <c r="R51" s="30">
        <f>INDEX('Rolling CF'!$1:$1048576,MATCH($B51,'Rolling CF'!$C:$C,0),MATCH(R$7,'Rolling CF'!$7:$7,0))</f>
        <v>0</v>
      </c>
      <c r="S51" s="30">
        <f>INDEX('Rolling CF'!$1:$1048576,MATCH($B51,'Rolling CF'!$C:$C,0),MATCH(S$7,'Rolling CF'!$7:$7,0))</f>
        <v>0</v>
      </c>
      <c r="T51" s="30">
        <f>INDEX('Rolling CF'!$1:$1048576,MATCH($B51,'Rolling CF'!$C:$C,0),MATCH(T$7,'Rolling CF'!$7:$7,0))</f>
        <v>0</v>
      </c>
      <c r="U51" s="30">
        <f>INDEX('Rolling CF'!$1:$1048576,MATCH($B51,'Rolling CF'!$C:$C,0),MATCH(U$7,'Rolling CF'!$7:$7,0))</f>
        <v>0</v>
      </c>
      <c r="V51" s="30">
        <f>INDEX('Rolling CF'!$1:$1048576,MATCH($B51,'Rolling CF'!$C:$C,0),MATCH(V$7,'Rolling CF'!$7:$7,0))</f>
        <v>0</v>
      </c>
    </row>
    <row r="52" spans="2:22" x14ac:dyDescent="0.3">
      <c r="B52" s="27" t="s">
        <v>77</v>
      </c>
      <c r="C52" s="28" t="s">
        <v>61</v>
      </c>
      <c r="D52" s="30">
        <f>INDEX('Rolling CF'!$1:$1048576,MATCH($B52,'Rolling CF'!$C:$C,0),MATCH(D$7,'Rolling CF'!$7:$7,0))</f>
        <v>0</v>
      </c>
      <c r="E52" s="30">
        <f>INDEX('Rolling CF'!$1:$1048576,MATCH($B52,'Rolling CF'!$C:$C,0),MATCH(E$7,'Rolling CF'!$7:$7,0))</f>
        <v>0</v>
      </c>
      <c r="F52" s="30">
        <f>INDEX('Rolling CF'!$1:$1048576,MATCH($B52,'Rolling CF'!$C:$C,0),MATCH(F$7,'Rolling CF'!$7:$7,0))</f>
        <v>0</v>
      </c>
      <c r="G52" s="30">
        <f>INDEX('Rolling CF'!$1:$1048576,MATCH($B52,'Rolling CF'!$C:$C,0),MATCH(G$7,'Rolling CF'!$7:$7,0))</f>
        <v>0</v>
      </c>
      <c r="H52" s="30">
        <f>INDEX('Rolling CF'!$1:$1048576,MATCH($B52,'Rolling CF'!$C:$C,0),MATCH(H$7,'Rolling CF'!$7:$7,0))</f>
        <v>0</v>
      </c>
      <c r="I52" s="30">
        <f>INDEX('Rolling CF'!$1:$1048576,MATCH($B52,'Rolling CF'!$C:$C,0),MATCH(I$7,'Rolling CF'!$7:$7,0))</f>
        <v>0</v>
      </c>
      <c r="J52" s="30">
        <f>INDEX('Rolling CF'!$1:$1048576,MATCH($B52,'Rolling CF'!$C:$C,0),MATCH(J$7,'Rolling CF'!$7:$7,0))</f>
        <v>0</v>
      </c>
      <c r="K52" s="30">
        <f>INDEX('Rolling CF'!$1:$1048576,MATCH($B52,'Rolling CF'!$C:$C,0),MATCH(K$7,'Rolling CF'!$7:$7,0))</f>
        <v>0</v>
      </c>
      <c r="L52" s="30">
        <f>INDEX('Rolling CF'!$1:$1048576,MATCH($B52,'Rolling CF'!$C:$C,0),MATCH(L$7,'Rolling CF'!$7:$7,0))</f>
        <v>0</v>
      </c>
      <c r="M52" s="30">
        <f>INDEX('Rolling CF'!$1:$1048576,MATCH($B52,'Rolling CF'!$C:$C,0),MATCH(M$7,'Rolling CF'!$7:$7,0))</f>
        <v>0</v>
      </c>
      <c r="N52" s="30">
        <f>INDEX('Rolling CF'!$1:$1048576,MATCH($B52,'Rolling CF'!$C:$C,0),MATCH(N$7,'Rolling CF'!$7:$7,0))</f>
        <v>0</v>
      </c>
      <c r="O52" s="30">
        <f>INDEX('Rolling CF'!$1:$1048576,MATCH($B52,'Rolling CF'!$C:$C,0),MATCH(O$7,'Rolling CF'!$7:$7,0))</f>
        <v>0</v>
      </c>
      <c r="P52" s="30">
        <f>INDEX('Rolling CF'!$1:$1048576,MATCH($B52,'Rolling CF'!$C:$C,0),MATCH(P$7,'Rolling CF'!$7:$7,0))</f>
        <v>0</v>
      </c>
      <c r="Q52" s="30">
        <f>INDEX('Rolling CF'!$1:$1048576,MATCH($B52,'Rolling CF'!$C:$C,0),MATCH(Q$7,'Rolling CF'!$7:$7,0))</f>
        <v>0</v>
      </c>
      <c r="R52" s="30">
        <f>INDEX('Rolling CF'!$1:$1048576,MATCH($B52,'Rolling CF'!$C:$C,0),MATCH(R$7,'Rolling CF'!$7:$7,0))</f>
        <v>0</v>
      </c>
      <c r="S52" s="30">
        <f>INDEX('Rolling CF'!$1:$1048576,MATCH($B52,'Rolling CF'!$C:$C,0),MATCH(S$7,'Rolling CF'!$7:$7,0))</f>
        <v>0</v>
      </c>
      <c r="T52" s="30">
        <f>INDEX('Rolling CF'!$1:$1048576,MATCH($B52,'Rolling CF'!$C:$C,0),MATCH(T$7,'Rolling CF'!$7:$7,0))</f>
        <v>0</v>
      </c>
      <c r="U52" s="30">
        <f>INDEX('Rolling CF'!$1:$1048576,MATCH($B52,'Rolling CF'!$C:$C,0),MATCH(U$7,'Rolling CF'!$7:$7,0))</f>
        <v>0</v>
      </c>
      <c r="V52" s="30">
        <f>INDEX('Rolling CF'!$1:$1048576,MATCH($B52,'Rolling CF'!$C:$C,0),MATCH(V$7,'Rolling CF'!$7:$7,0))</f>
        <v>0</v>
      </c>
    </row>
    <row r="53" spans="2:22" x14ac:dyDescent="0.3">
      <c r="B53" s="27" t="s">
        <v>78</v>
      </c>
      <c r="C53" s="28" t="s">
        <v>61</v>
      </c>
      <c r="D53" s="30">
        <f>INDEX('Rolling CF'!$1:$1048576,MATCH($B53,'Rolling CF'!$C:$C,0),MATCH(D$7,'Rolling CF'!$7:$7,0))</f>
        <v>0</v>
      </c>
      <c r="E53" s="30">
        <f>INDEX('Rolling CF'!$1:$1048576,MATCH($B53,'Rolling CF'!$C:$C,0),MATCH(E$7,'Rolling CF'!$7:$7,0))</f>
        <v>0</v>
      </c>
      <c r="F53" s="30">
        <f>INDEX('Rolling CF'!$1:$1048576,MATCH($B53,'Rolling CF'!$C:$C,0),MATCH(F$7,'Rolling CF'!$7:$7,0))</f>
        <v>0</v>
      </c>
      <c r="G53" s="30">
        <f>INDEX('Rolling CF'!$1:$1048576,MATCH($B53,'Rolling CF'!$C:$C,0),MATCH(G$7,'Rolling CF'!$7:$7,0))</f>
        <v>0</v>
      </c>
      <c r="H53" s="30">
        <f>INDEX('Rolling CF'!$1:$1048576,MATCH($B53,'Rolling CF'!$C:$C,0),MATCH(H$7,'Rolling CF'!$7:$7,0))</f>
        <v>0</v>
      </c>
      <c r="I53" s="30">
        <f>INDEX('Rolling CF'!$1:$1048576,MATCH($B53,'Rolling CF'!$C:$C,0),MATCH(I$7,'Rolling CF'!$7:$7,0))</f>
        <v>0</v>
      </c>
      <c r="J53" s="30">
        <f>INDEX('Rolling CF'!$1:$1048576,MATCH($B53,'Rolling CF'!$C:$C,0),MATCH(J$7,'Rolling CF'!$7:$7,0))</f>
        <v>0</v>
      </c>
      <c r="K53" s="30">
        <f>INDEX('Rolling CF'!$1:$1048576,MATCH($B53,'Rolling CF'!$C:$C,0),MATCH(K$7,'Rolling CF'!$7:$7,0))</f>
        <v>0</v>
      </c>
      <c r="L53" s="30">
        <f>INDEX('Rolling CF'!$1:$1048576,MATCH($B53,'Rolling CF'!$C:$C,0),MATCH(L$7,'Rolling CF'!$7:$7,0))</f>
        <v>0</v>
      </c>
      <c r="M53" s="30">
        <f>INDEX('Rolling CF'!$1:$1048576,MATCH($B53,'Rolling CF'!$C:$C,0),MATCH(M$7,'Rolling CF'!$7:$7,0))</f>
        <v>0</v>
      </c>
      <c r="N53" s="30">
        <f>INDEX('Rolling CF'!$1:$1048576,MATCH($B53,'Rolling CF'!$C:$C,0),MATCH(N$7,'Rolling CF'!$7:$7,0))</f>
        <v>0</v>
      </c>
      <c r="O53" s="30">
        <f>INDEX('Rolling CF'!$1:$1048576,MATCH($B53,'Rolling CF'!$C:$C,0),MATCH(O$7,'Rolling CF'!$7:$7,0))</f>
        <v>0</v>
      </c>
      <c r="P53" s="30">
        <f>INDEX('Rolling CF'!$1:$1048576,MATCH($B53,'Rolling CF'!$C:$C,0),MATCH(P$7,'Rolling CF'!$7:$7,0))</f>
        <v>0</v>
      </c>
      <c r="Q53" s="30">
        <f>INDEX('Rolling CF'!$1:$1048576,MATCH($B53,'Rolling CF'!$C:$C,0),MATCH(Q$7,'Rolling CF'!$7:$7,0))</f>
        <v>0</v>
      </c>
      <c r="R53" s="30">
        <f>INDEX('Rolling CF'!$1:$1048576,MATCH($B53,'Rolling CF'!$C:$C,0),MATCH(R$7,'Rolling CF'!$7:$7,0))</f>
        <v>0</v>
      </c>
      <c r="S53" s="30">
        <f>INDEX('Rolling CF'!$1:$1048576,MATCH($B53,'Rolling CF'!$C:$C,0),MATCH(S$7,'Rolling CF'!$7:$7,0))</f>
        <v>0</v>
      </c>
      <c r="T53" s="30">
        <f>INDEX('Rolling CF'!$1:$1048576,MATCH($B53,'Rolling CF'!$C:$C,0),MATCH(T$7,'Rolling CF'!$7:$7,0))</f>
        <v>0</v>
      </c>
      <c r="U53" s="30">
        <f>INDEX('Rolling CF'!$1:$1048576,MATCH($B53,'Rolling CF'!$C:$C,0),MATCH(U$7,'Rolling CF'!$7:$7,0))</f>
        <v>0</v>
      </c>
      <c r="V53" s="30">
        <f>INDEX('Rolling CF'!$1:$1048576,MATCH($B53,'Rolling CF'!$C:$C,0),MATCH(V$7,'Rolling CF'!$7:$7,0))</f>
        <v>0</v>
      </c>
    </row>
    <row r="54" spans="2:22" x14ac:dyDescent="0.3">
      <c r="B54" s="27" t="s">
        <v>79</v>
      </c>
      <c r="C54" s="28" t="s">
        <v>61</v>
      </c>
      <c r="D54" s="30">
        <f>INDEX('Rolling CF'!$1:$1048576,MATCH($B54,'Rolling CF'!$C:$C,0),MATCH(D$7,'Rolling CF'!$7:$7,0))</f>
        <v>0</v>
      </c>
      <c r="E54" s="30">
        <f>INDEX('Rolling CF'!$1:$1048576,MATCH($B54,'Rolling CF'!$C:$C,0),MATCH(E$7,'Rolling CF'!$7:$7,0))</f>
        <v>0</v>
      </c>
      <c r="F54" s="30">
        <f>INDEX('Rolling CF'!$1:$1048576,MATCH($B54,'Rolling CF'!$C:$C,0),MATCH(F$7,'Rolling CF'!$7:$7,0))</f>
        <v>0</v>
      </c>
      <c r="G54" s="30">
        <f>INDEX('Rolling CF'!$1:$1048576,MATCH($B54,'Rolling CF'!$C:$C,0),MATCH(G$7,'Rolling CF'!$7:$7,0))</f>
        <v>0</v>
      </c>
      <c r="H54" s="30">
        <f>INDEX('Rolling CF'!$1:$1048576,MATCH($B54,'Rolling CF'!$C:$C,0),MATCH(H$7,'Rolling CF'!$7:$7,0))</f>
        <v>0</v>
      </c>
      <c r="I54" s="30">
        <f>INDEX('Rolling CF'!$1:$1048576,MATCH($B54,'Rolling CF'!$C:$C,0),MATCH(I$7,'Rolling CF'!$7:$7,0))</f>
        <v>0</v>
      </c>
      <c r="J54" s="30">
        <f>INDEX('Rolling CF'!$1:$1048576,MATCH($B54,'Rolling CF'!$C:$C,0),MATCH(J$7,'Rolling CF'!$7:$7,0))</f>
        <v>0</v>
      </c>
      <c r="K54" s="30">
        <f>INDEX('Rolling CF'!$1:$1048576,MATCH($B54,'Rolling CF'!$C:$C,0),MATCH(K$7,'Rolling CF'!$7:$7,0))</f>
        <v>0</v>
      </c>
      <c r="L54" s="30">
        <f>INDEX('Rolling CF'!$1:$1048576,MATCH($B54,'Rolling CF'!$C:$C,0),MATCH(L$7,'Rolling CF'!$7:$7,0))</f>
        <v>0</v>
      </c>
      <c r="M54" s="30">
        <f>INDEX('Rolling CF'!$1:$1048576,MATCH($B54,'Rolling CF'!$C:$C,0),MATCH(M$7,'Rolling CF'!$7:$7,0))</f>
        <v>0</v>
      </c>
      <c r="N54" s="30">
        <f>INDEX('Rolling CF'!$1:$1048576,MATCH($B54,'Rolling CF'!$C:$C,0),MATCH(N$7,'Rolling CF'!$7:$7,0))</f>
        <v>0</v>
      </c>
      <c r="O54" s="30">
        <f>INDEX('Rolling CF'!$1:$1048576,MATCH($B54,'Rolling CF'!$C:$C,0),MATCH(O$7,'Rolling CF'!$7:$7,0))</f>
        <v>0</v>
      </c>
      <c r="P54" s="30">
        <f>INDEX('Rolling CF'!$1:$1048576,MATCH($B54,'Rolling CF'!$C:$C,0),MATCH(P$7,'Rolling CF'!$7:$7,0))</f>
        <v>0</v>
      </c>
      <c r="Q54" s="30">
        <f>INDEX('Rolling CF'!$1:$1048576,MATCH($B54,'Rolling CF'!$C:$C,0),MATCH(Q$7,'Rolling CF'!$7:$7,0))</f>
        <v>0</v>
      </c>
      <c r="R54" s="30">
        <f>INDEX('Rolling CF'!$1:$1048576,MATCH($B54,'Rolling CF'!$C:$C,0),MATCH(R$7,'Rolling CF'!$7:$7,0))</f>
        <v>0</v>
      </c>
      <c r="S54" s="30">
        <f>INDEX('Rolling CF'!$1:$1048576,MATCH($B54,'Rolling CF'!$C:$C,0),MATCH(S$7,'Rolling CF'!$7:$7,0))</f>
        <v>0</v>
      </c>
      <c r="T54" s="30">
        <f>INDEX('Rolling CF'!$1:$1048576,MATCH($B54,'Rolling CF'!$C:$C,0),MATCH(T$7,'Rolling CF'!$7:$7,0))</f>
        <v>0</v>
      </c>
      <c r="U54" s="30">
        <f>INDEX('Rolling CF'!$1:$1048576,MATCH($B54,'Rolling CF'!$C:$C,0),MATCH(U$7,'Rolling CF'!$7:$7,0))</f>
        <v>0</v>
      </c>
      <c r="V54" s="30">
        <f>INDEX('Rolling CF'!$1:$1048576,MATCH($B54,'Rolling CF'!$C:$C,0),MATCH(V$7,'Rolling CF'!$7:$7,0))</f>
        <v>0</v>
      </c>
    </row>
    <row r="55" spans="2:22" x14ac:dyDescent="0.3">
      <c r="B55" s="27" t="s">
        <v>80</v>
      </c>
      <c r="C55" s="28" t="s">
        <v>67</v>
      </c>
      <c r="D55" s="30">
        <f>INDEX('Rolling CF'!$1:$1048576,MATCH($B55,'Rolling CF'!$C:$C,0),MATCH(D$7,'Rolling CF'!$7:$7,0))</f>
        <v>-1150</v>
      </c>
      <c r="E55" s="30">
        <f>INDEX('Rolling CF'!$1:$1048576,MATCH($B55,'Rolling CF'!$C:$C,0),MATCH(E$7,'Rolling CF'!$7:$7,0))</f>
        <v>-2100</v>
      </c>
      <c r="F55" s="30">
        <f>INDEX('Rolling CF'!$1:$1048576,MATCH($B55,'Rolling CF'!$C:$C,0),MATCH(F$7,'Rolling CF'!$7:$7,0))</f>
        <v>0</v>
      </c>
      <c r="G55" s="30">
        <f>INDEX('Rolling CF'!$1:$1048576,MATCH($B55,'Rolling CF'!$C:$C,0),MATCH(G$7,'Rolling CF'!$7:$7,0))</f>
        <v>-2130</v>
      </c>
      <c r="H55" s="30">
        <f>INDEX('Rolling CF'!$1:$1048576,MATCH($B55,'Rolling CF'!$C:$C,0),MATCH(H$7,'Rolling CF'!$7:$7,0))</f>
        <v>0</v>
      </c>
      <c r="I55" s="30">
        <f>INDEX('Rolling CF'!$1:$1048576,MATCH($B55,'Rolling CF'!$C:$C,0),MATCH(I$7,'Rolling CF'!$7:$7,0))</f>
        <v>-860</v>
      </c>
      <c r="J55" s="30">
        <f>INDEX('Rolling CF'!$1:$1048576,MATCH($B55,'Rolling CF'!$C:$C,0),MATCH(J$7,'Rolling CF'!$7:$7,0))</f>
        <v>-1040</v>
      </c>
      <c r="K55" s="30">
        <f>INDEX('Rolling CF'!$1:$1048576,MATCH($B55,'Rolling CF'!$C:$C,0),MATCH(K$7,'Rolling CF'!$7:$7,0))</f>
        <v>-1021.6666666666666</v>
      </c>
      <c r="L55" s="30">
        <f>INDEX('Rolling CF'!$1:$1048576,MATCH($B55,'Rolling CF'!$C:$C,0),MATCH(L$7,'Rolling CF'!$7:$7,0))</f>
        <v>-841.94444444444446</v>
      </c>
      <c r="M55" s="30">
        <f>INDEX('Rolling CF'!$1:$1048576,MATCH($B55,'Rolling CF'!$C:$C,0),MATCH(M$7,'Rolling CF'!$7:$7,0))</f>
        <v>-982.26851851851859</v>
      </c>
      <c r="N55" s="30">
        <f>INDEX('Rolling CF'!$1:$1048576,MATCH($B55,'Rolling CF'!$C:$C,0),MATCH(N$7,'Rolling CF'!$7:$7,0))</f>
        <v>-790.97993827160496</v>
      </c>
      <c r="O55" s="30">
        <f>INDEX('Rolling CF'!$1:$1048576,MATCH($B55,'Rolling CF'!$C:$C,0),MATCH(O$7,'Rolling CF'!$7:$7,0))</f>
        <v>-922.80992798353907</v>
      </c>
      <c r="P55" s="30">
        <f>INDEX('Rolling CF'!$1:$1048576,MATCH($B55,'Rolling CF'!$C:$C,0),MATCH(P$7,'Rolling CF'!$7:$7,0))</f>
        <v>-933.27824931412886</v>
      </c>
      <c r="Q55" s="30">
        <f>INDEX('Rolling CF'!$1:$1048576,MATCH($B55,'Rolling CF'!$C:$C,0),MATCH(Q$7,'Rolling CF'!$7:$7,0))</f>
        <v>-915.49129086648372</v>
      </c>
      <c r="R55" s="30">
        <f>INDEX('Rolling CF'!$1:$1048576,MATCH($B55,'Rolling CF'!$C:$C,0),MATCH(R$7,'Rolling CF'!$7:$7,0))</f>
        <v>-897.79539489978663</v>
      </c>
      <c r="S55" s="30">
        <f>INDEX('Rolling CF'!$1:$1048576,MATCH($B55,'Rolling CF'!$C:$C,0),MATCH(S$7,'Rolling CF'!$7:$7,0))</f>
        <v>-907.1038866423437</v>
      </c>
      <c r="T55" s="30">
        <f>INDEX('Rolling CF'!$1:$1048576,MATCH($B55,'Rolling CF'!$C:$C,0),MATCH(T$7,'Rolling CF'!$7:$7,0))</f>
        <v>-894.57644799631453</v>
      </c>
      <c r="U55" s="30">
        <f>INDEX('Rolling CF'!$1:$1048576,MATCH($B55,'Rolling CF'!$C:$C,0),MATCH(U$7,'Rolling CF'!$7:$7,0))</f>
        <v>-911.84253295043288</v>
      </c>
      <c r="V55" s="30">
        <f>INDEX('Rolling CF'!$1:$1048576,MATCH($B55,'Rolling CF'!$C:$C,0),MATCH(V$7,'Rolling CF'!$7:$7,0))</f>
        <v>-910.01463377824837</v>
      </c>
    </row>
    <row r="56" spans="2:22" x14ac:dyDescent="0.3">
      <c r="B56" s="27" t="s">
        <v>81</v>
      </c>
      <c r="C56" s="28" t="s">
        <v>61</v>
      </c>
      <c r="D56" s="30">
        <f>INDEX('Rolling CF'!$1:$1048576,MATCH($B56,'Rolling CF'!$C:$C,0),MATCH(D$7,'Rolling CF'!$7:$7,0))</f>
        <v>0</v>
      </c>
      <c r="E56" s="30">
        <f>INDEX('Rolling CF'!$1:$1048576,MATCH($B56,'Rolling CF'!$C:$C,0),MATCH(E$7,'Rolling CF'!$7:$7,0))</f>
        <v>0</v>
      </c>
      <c r="F56" s="30">
        <f>INDEX('Rolling CF'!$1:$1048576,MATCH($B56,'Rolling CF'!$C:$C,0),MATCH(F$7,'Rolling CF'!$7:$7,0))</f>
        <v>0</v>
      </c>
      <c r="G56" s="30">
        <f>INDEX('Rolling CF'!$1:$1048576,MATCH($B56,'Rolling CF'!$C:$C,0),MATCH(G$7,'Rolling CF'!$7:$7,0))</f>
        <v>0</v>
      </c>
      <c r="H56" s="30">
        <f>INDEX('Rolling CF'!$1:$1048576,MATCH($B56,'Rolling CF'!$C:$C,0),MATCH(H$7,'Rolling CF'!$7:$7,0))</f>
        <v>0</v>
      </c>
      <c r="I56" s="30">
        <f>INDEX('Rolling CF'!$1:$1048576,MATCH($B56,'Rolling CF'!$C:$C,0),MATCH(I$7,'Rolling CF'!$7:$7,0))</f>
        <v>0</v>
      </c>
      <c r="J56" s="30">
        <f>INDEX('Rolling CF'!$1:$1048576,MATCH($B56,'Rolling CF'!$C:$C,0),MATCH(J$7,'Rolling CF'!$7:$7,0))</f>
        <v>0</v>
      </c>
      <c r="K56" s="30">
        <f>INDEX('Rolling CF'!$1:$1048576,MATCH($B56,'Rolling CF'!$C:$C,0),MATCH(K$7,'Rolling CF'!$7:$7,0))</f>
        <v>0</v>
      </c>
      <c r="L56" s="30">
        <f>INDEX('Rolling CF'!$1:$1048576,MATCH($B56,'Rolling CF'!$C:$C,0),MATCH(L$7,'Rolling CF'!$7:$7,0))</f>
        <v>0</v>
      </c>
      <c r="M56" s="30">
        <f>INDEX('Rolling CF'!$1:$1048576,MATCH($B56,'Rolling CF'!$C:$C,0),MATCH(M$7,'Rolling CF'!$7:$7,0))</f>
        <v>0</v>
      </c>
      <c r="N56" s="30">
        <f>INDEX('Rolling CF'!$1:$1048576,MATCH($B56,'Rolling CF'!$C:$C,0),MATCH(N$7,'Rolling CF'!$7:$7,0))</f>
        <v>0</v>
      </c>
      <c r="O56" s="30">
        <f>INDEX('Rolling CF'!$1:$1048576,MATCH($B56,'Rolling CF'!$C:$C,0),MATCH(O$7,'Rolling CF'!$7:$7,0))</f>
        <v>0</v>
      </c>
      <c r="P56" s="30">
        <f>INDEX('Rolling CF'!$1:$1048576,MATCH($B56,'Rolling CF'!$C:$C,0),MATCH(P$7,'Rolling CF'!$7:$7,0))</f>
        <v>0</v>
      </c>
      <c r="Q56" s="30">
        <f>INDEX('Rolling CF'!$1:$1048576,MATCH($B56,'Rolling CF'!$C:$C,0),MATCH(Q$7,'Rolling CF'!$7:$7,0))</f>
        <v>0</v>
      </c>
      <c r="R56" s="30">
        <f>INDEX('Rolling CF'!$1:$1048576,MATCH($B56,'Rolling CF'!$C:$C,0),MATCH(R$7,'Rolling CF'!$7:$7,0))</f>
        <v>0</v>
      </c>
      <c r="S56" s="30">
        <f>INDEX('Rolling CF'!$1:$1048576,MATCH($B56,'Rolling CF'!$C:$C,0),MATCH(S$7,'Rolling CF'!$7:$7,0))</f>
        <v>0</v>
      </c>
      <c r="T56" s="30">
        <f>INDEX('Rolling CF'!$1:$1048576,MATCH($B56,'Rolling CF'!$C:$C,0),MATCH(T$7,'Rolling CF'!$7:$7,0))</f>
        <v>0</v>
      </c>
      <c r="U56" s="30">
        <f>INDEX('Rolling CF'!$1:$1048576,MATCH($B56,'Rolling CF'!$C:$C,0),MATCH(U$7,'Rolling CF'!$7:$7,0))</f>
        <v>0</v>
      </c>
      <c r="V56" s="30">
        <f>INDEX('Rolling CF'!$1:$1048576,MATCH($B56,'Rolling CF'!$C:$C,0),MATCH(V$7,'Rolling CF'!$7:$7,0))</f>
        <v>0</v>
      </c>
    </row>
    <row r="57" spans="2:22" x14ac:dyDescent="0.3">
      <c r="B57" s="27" t="s">
        <v>82</v>
      </c>
      <c r="C57" s="28" t="s">
        <v>61</v>
      </c>
      <c r="D57" s="30">
        <f>INDEX('Rolling CF'!$1:$1048576,MATCH($B57,'Rolling CF'!$C:$C,0),MATCH(D$7,'Rolling CF'!$7:$7,0))</f>
        <v>0</v>
      </c>
      <c r="E57" s="30">
        <f>INDEX('Rolling CF'!$1:$1048576,MATCH($B57,'Rolling CF'!$C:$C,0),MATCH(E$7,'Rolling CF'!$7:$7,0))</f>
        <v>0</v>
      </c>
      <c r="F57" s="30">
        <f>INDEX('Rolling CF'!$1:$1048576,MATCH($B57,'Rolling CF'!$C:$C,0),MATCH(F$7,'Rolling CF'!$7:$7,0))</f>
        <v>0</v>
      </c>
      <c r="G57" s="30">
        <f>INDEX('Rolling CF'!$1:$1048576,MATCH($B57,'Rolling CF'!$C:$C,0),MATCH(G$7,'Rolling CF'!$7:$7,0))</f>
        <v>0</v>
      </c>
      <c r="H57" s="30">
        <f>INDEX('Rolling CF'!$1:$1048576,MATCH($B57,'Rolling CF'!$C:$C,0),MATCH(H$7,'Rolling CF'!$7:$7,0))</f>
        <v>0</v>
      </c>
      <c r="I57" s="30">
        <f>INDEX('Rolling CF'!$1:$1048576,MATCH($B57,'Rolling CF'!$C:$C,0),MATCH(I$7,'Rolling CF'!$7:$7,0))</f>
        <v>0</v>
      </c>
      <c r="J57" s="30">
        <f>INDEX('Rolling CF'!$1:$1048576,MATCH($B57,'Rolling CF'!$C:$C,0),MATCH(J$7,'Rolling CF'!$7:$7,0))</f>
        <v>0</v>
      </c>
      <c r="K57" s="30">
        <f>INDEX('Rolling CF'!$1:$1048576,MATCH($B57,'Rolling CF'!$C:$C,0),MATCH(K$7,'Rolling CF'!$7:$7,0))</f>
        <v>0</v>
      </c>
      <c r="L57" s="30">
        <f>INDEX('Rolling CF'!$1:$1048576,MATCH($B57,'Rolling CF'!$C:$C,0),MATCH(L$7,'Rolling CF'!$7:$7,0))</f>
        <v>0</v>
      </c>
      <c r="M57" s="30">
        <f>INDEX('Rolling CF'!$1:$1048576,MATCH($B57,'Rolling CF'!$C:$C,0),MATCH(M$7,'Rolling CF'!$7:$7,0))</f>
        <v>0</v>
      </c>
      <c r="N57" s="30">
        <f>INDEX('Rolling CF'!$1:$1048576,MATCH($B57,'Rolling CF'!$C:$C,0),MATCH(N$7,'Rolling CF'!$7:$7,0))</f>
        <v>0</v>
      </c>
      <c r="O57" s="30">
        <f>INDEX('Rolling CF'!$1:$1048576,MATCH($B57,'Rolling CF'!$C:$C,0),MATCH(O$7,'Rolling CF'!$7:$7,0))</f>
        <v>0</v>
      </c>
      <c r="P57" s="30">
        <f>INDEX('Rolling CF'!$1:$1048576,MATCH($B57,'Rolling CF'!$C:$C,0),MATCH(P$7,'Rolling CF'!$7:$7,0))</f>
        <v>0</v>
      </c>
      <c r="Q57" s="30">
        <f>INDEX('Rolling CF'!$1:$1048576,MATCH($B57,'Rolling CF'!$C:$C,0),MATCH(Q$7,'Rolling CF'!$7:$7,0))</f>
        <v>0</v>
      </c>
      <c r="R57" s="30">
        <f>INDEX('Rolling CF'!$1:$1048576,MATCH($B57,'Rolling CF'!$C:$C,0),MATCH(R$7,'Rolling CF'!$7:$7,0))</f>
        <v>0</v>
      </c>
      <c r="S57" s="30">
        <f>INDEX('Rolling CF'!$1:$1048576,MATCH($B57,'Rolling CF'!$C:$C,0),MATCH(S$7,'Rolling CF'!$7:$7,0))</f>
        <v>0</v>
      </c>
      <c r="T57" s="30">
        <f>INDEX('Rolling CF'!$1:$1048576,MATCH($B57,'Rolling CF'!$C:$C,0),MATCH(T$7,'Rolling CF'!$7:$7,0))</f>
        <v>0</v>
      </c>
      <c r="U57" s="30">
        <f>INDEX('Rolling CF'!$1:$1048576,MATCH($B57,'Rolling CF'!$C:$C,0),MATCH(U$7,'Rolling CF'!$7:$7,0))</f>
        <v>0</v>
      </c>
      <c r="V57" s="30">
        <f>INDEX('Rolling CF'!$1:$1048576,MATCH($B57,'Rolling CF'!$C:$C,0),MATCH(V$7,'Rolling CF'!$7:$7,0))</f>
        <v>0</v>
      </c>
    </row>
    <row r="58" spans="2:22" x14ac:dyDescent="0.3">
      <c r="B58" s="27" t="s">
        <v>83</v>
      </c>
      <c r="C58" s="28" t="s">
        <v>61</v>
      </c>
      <c r="D58" s="30">
        <f>INDEX('Rolling CF'!$1:$1048576,MATCH($B58,'Rolling CF'!$C:$C,0),MATCH(D$7,'Rolling CF'!$7:$7,0))</f>
        <v>0</v>
      </c>
      <c r="E58" s="30">
        <f>INDEX('Rolling CF'!$1:$1048576,MATCH($B58,'Rolling CF'!$C:$C,0),MATCH(E$7,'Rolling CF'!$7:$7,0))</f>
        <v>0</v>
      </c>
      <c r="F58" s="30">
        <f>INDEX('Rolling CF'!$1:$1048576,MATCH($B58,'Rolling CF'!$C:$C,0),MATCH(F$7,'Rolling CF'!$7:$7,0))</f>
        <v>0</v>
      </c>
      <c r="G58" s="30">
        <f>INDEX('Rolling CF'!$1:$1048576,MATCH($B58,'Rolling CF'!$C:$C,0),MATCH(G$7,'Rolling CF'!$7:$7,0))</f>
        <v>0</v>
      </c>
      <c r="H58" s="30">
        <f>INDEX('Rolling CF'!$1:$1048576,MATCH($B58,'Rolling CF'!$C:$C,0),MATCH(H$7,'Rolling CF'!$7:$7,0))</f>
        <v>0</v>
      </c>
      <c r="I58" s="30">
        <f>INDEX('Rolling CF'!$1:$1048576,MATCH($B58,'Rolling CF'!$C:$C,0),MATCH(I$7,'Rolling CF'!$7:$7,0))</f>
        <v>0</v>
      </c>
      <c r="J58" s="30">
        <f>INDEX('Rolling CF'!$1:$1048576,MATCH($B58,'Rolling CF'!$C:$C,0),MATCH(J$7,'Rolling CF'!$7:$7,0))</f>
        <v>0</v>
      </c>
      <c r="K58" s="30">
        <f>INDEX('Rolling CF'!$1:$1048576,MATCH($B58,'Rolling CF'!$C:$C,0),MATCH(K$7,'Rolling CF'!$7:$7,0))</f>
        <v>0</v>
      </c>
      <c r="L58" s="30">
        <f>INDEX('Rolling CF'!$1:$1048576,MATCH($B58,'Rolling CF'!$C:$C,0),MATCH(L$7,'Rolling CF'!$7:$7,0))</f>
        <v>0</v>
      </c>
      <c r="M58" s="30">
        <f>INDEX('Rolling CF'!$1:$1048576,MATCH($B58,'Rolling CF'!$C:$C,0),MATCH(M$7,'Rolling CF'!$7:$7,0))</f>
        <v>0</v>
      </c>
      <c r="N58" s="30">
        <f>INDEX('Rolling CF'!$1:$1048576,MATCH($B58,'Rolling CF'!$C:$C,0),MATCH(N$7,'Rolling CF'!$7:$7,0))</f>
        <v>0</v>
      </c>
      <c r="O58" s="30">
        <f>INDEX('Rolling CF'!$1:$1048576,MATCH($B58,'Rolling CF'!$C:$C,0),MATCH(O$7,'Rolling CF'!$7:$7,0))</f>
        <v>0</v>
      </c>
      <c r="P58" s="30">
        <f>INDEX('Rolling CF'!$1:$1048576,MATCH($B58,'Rolling CF'!$C:$C,0),MATCH(P$7,'Rolling CF'!$7:$7,0))</f>
        <v>0</v>
      </c>
      <c r="Q58" s="30">
        <f>INDEX('Rolling CF'!$1:$1048576,MATCH($B58,'Rolling CF'!$C:$C,0),MATCH(Q$7,'Rolling CF'!$7:$7,0))</f>
        <v>0</v>
      </c>
      <c r="R58" s="30">
        <f>INDEX('Rolling CF'!$1:$1048576,MATCH($B58,'Rolling CF'!$C:$C,0),MATCH(R$7,'Rolling CF'!$7:$7,0))</f>
        <v>0</v>
      </c>
      <c r="S58" s="30">
        <f>INDEX('Rolling CF'!$1:$1048576,MATCH($B58,'Rolling CF'!$C:$C,0),MATCH(S$7,'Rolling CF'!$7:$7,0))</f>
        <v>0</v>
      </c>
      <c r="T58" s="30">
        <f>INDEX('Rolling CF'!$1:$1048576,MATCH($B58,'Rolling CF'!$C:$C,0),MATCH(T$7,'Rolling CF'!$7:$7,0))</f>
        <v>0</v>
      </c>
      <c r="U58" s="30">
        <f>INDEX('Rolling CF'!$1:$1048576,MATCH($B58,'Rolling CF'!$C:$C,0),MATCH(U$7,'Rolling CF'!$7:$7,0))</f>
        <v>0</v>
      </c>
      <c r="V58" s="30">
        <f>INDEX('Rolling CF'!$1:$1048576,MATCH($B58,'Rolling CF'!$C:$C,0),MATCH(V$7,'Rolling CF'!$7:$7,0))</f>
        <v>0</v>
      </c>
    </row>
    <row r="59" spans="2:22" x14ac:dyDescent="0.3">
      <c r="B59" s="27" t="s">
        <v>84</v>
      </c>
      <c r="C59" s="28" t="s">
        <v>85</v>
      </c>
      <c r="D59" s="30">
        <f>INDEX('Rolling CF'!$1:$1048576,MATCH($B59,'Rolling CF'!$C:$C,0),MATCH(D$7,'Rolling CF'!$7:$7,0))</f>
        <v>-7660</v>
      </c>
      <c r="E59" s="30">
        <f>INDEX('Rolling CF'!$1:$1048576,MATCH($B59,'Rolling CF'!$C:$C,0),MATCH(E$7,'Rolling CF'!$7:$7,0))</f>
        <v>0</v>
      </c>
      <c r="F59" s="30">
        <f>INDEX('Rolling CF'!$1:$1048576,MATCH($B59,'Rolling CF'!$C:$C,0),MATCH(F$7,'Rolling CF'!$7:$7,0))</f>
        <v>0</v>
      </c>
      <c r="G59" s="30">
        <f>INDEX('Rolling CF'!$1:$1048576,MATCH($B59,'Rolling CF'!$C:$C,0),MATCH(G$7,'Rolling CF'!$7:$7,0))</f>
        <v>0</v>
      </c>
      <c r="H59" s="30">
        <f>INDEX('Rolling CF'!$1:$1048576,MATCH($B59,'Rolling CF'!$C:$C,0),MATCH(H$7,'Rolling CF'!$7:$7,0))</f>
        <v>-5840</v>
      </c>
      <c r="I59" s="30">
        <f>INDEX('Rolling CF'!$1:$1048576,MATCH($B59,'Rolling CF'!$C:$C,0),MATCH(I$7,'Rolling CF'!$7:$7,0))</f>
        <v>-510</v>
      </c>
      <c r="J59" s="30">
        <f>INDEX('Rolling CF'!$1:$1048576,MATCH($B59,'Rolling CF'!$C:$C,0),MATCH(J$7,'Rolling CF'!$7:$7,0))</f>
        <v>0</v>
      </c>
      <c r="K59" s="30">
        <f>INDEX('Rolling CF'!$1:$1048576,MATCH($B59,'Rolling CF'!$C:$C,0),MATCH(K$7,'Rolling CF'!$7:$7,0))</f>
        <v>0</v>
      </c>
      <c r="L59" s="30">
        <f>INDEX('Rolling CF'!$1:$1048576,MATCH($B59,'Rolling CF'!$C:$C,0),MATCH(L$7,'Rolling CF'!$7:$7,0))</f>
        <v>0</v>
      </c>
      <c r="M59" s="30">
        <f>INDEX('Rolling CF'!$1:$1048576,MATCH($B59,'Rolling CF'!$C:$C,0),MATCH(M$7,'Rolling CF'!$7:$7,0))</f>
        <v>-7000</v>
      </c>
      <c r="N59" s="30">
        <f>INDEX('Rolling CF'!$1:$1048576,MATCH($B59,'Rolling CF'!$C:$C,0),MATCH(N$7,'Rolling CF'!$7:$7,0))</f>
        <v>0</v>
      </c>
      <c r="O59" s="30">
        <f>INDEX('Rolling CF'!$1:$1048576,MATCH($B59,'Rolling CF'!$C:$C,0),MATCH(O$7,'Rolling CF'!$7:$7,0))</f>
        <v>0</v>
      </c>
      <c r="P59" s="30">
        <f>INDEX('Rolling CF'!$1:$1048576,MATCH($B59,'Rolling CF'!$C:$C,0),MATCH(P$7,'Rolling CF'!$7:$7,0))</f>
        <v>0</v>
      </c>
      <c r="Q59" s="30">
        <f>INDEX('Rolling CF'!$1:$1048576,MATCH($B59,'Rolling CF'!$C:$C,0),MATCH(Q$7,'Rolling CF'!$7:$7,0))</f>
        <v>-7000</v>
      </c>
      <c r="R59" s="30">
        <f>INDEX('Rolling CF'!$1:$1048576,MATCH($B59,'Rolling CF'!$C:$C,0),MATCH(R$7,'Rolling CF'!$7:$7,0))</f>
        <v>0</v>
      </c>
      <c r="S59" s="30">
        <f>INDEX('Rolling CF'!$1:$1048576,MATCH($B59,'Rolling CF'!$C:$C,0),MATCH(S$7,'Rolling CF'!$7:$7,0))</f>
        <v>0</v>
      </c>
      <c r="T59" s="30">
        <f>INDEX('Rolling CF'!$1:$1048576,MATCH($B59,'Rolling CF'!$C:$C,0),MATCH(T$7,'Rolling CF'!$7:$7,0))</f>
        <v>0</v>
      </c>
      <c r="U59" s="30">
        <f>INDEX('Rolling CF'!$1:$1048576,MATCH($B59,'Rolling CF'!$C:$C,0),MATCH(U$7,'Rolling CF'!$7:$7,0))</f>
        <v>-7000</v>
      </c>
      <c r="V59" s="30">
        <f>INDEX('Rolling CF'!$1:$1048576,MATCH($B59,'Rolling CF'!$C:$C,0),MATCH(V$7,'Rolling CF'!$7:$7,0))</f>
        <v>0</v>
      </c>
    </row>
    <row r="60" spans="2:22" x14ac:dyDescent="0.3">
      <c r="B60" s="27" t="s">
        <v>86</v>
      </c>
      <c r="C60" s="28" t="s">
        <v>67</v>
      </c>
      <c r="D60" s="30">
        <f>INDEX('Rolling CF'!$1:$1048576,MATCH($B60,'Rolling CF'!$C:$C,0),MATCH(D$7,'Rolling CF'!$7:$7,0))</f>
        <v>-2570</v>
      </c>
      <c r="E60" s="30">
        <f>INDEX('Rolling CF'!$1:$1048576,MATCH($B60,'Rolling CF'!$C:$C,0),MATCH(E$7,'Rolling CF'!$7:$7,0))</f>
        <v>0</v>
      </c>
      <c r="F60" s="30">
        <f>INDEX('Rolling CF'!$1:$1048576,MATCH($B60,'Rolling CF'!$C:$C,0),MATCH(F$7,'Rolling CF'!$7:$7,0))</f>
        <v>0</v>
      </c>
      <c r="G60" s="30">
        <f>INDEX('Rolling CF'!$1:$1048576,MATCH($B60,'Rolling CF'!$C:$C,0),MATCH(G$7,'Rolling CF'!$7:$7,0))</f>
        <v>0</v>
      </c>
      <c r="H60" s="30">
        <f>INDEX('Rolling CF'!$1:$1048576,MATCH($B60,'Rolling CF'!$C:$C,0),MATCH(H$7,'Rolling CF'!$7:$7,0))</f>
        <v>-1270</v>
      </c>
      <c r="I60" s="30">
        <f>INDEX('Rolling CF'!$1:$1048576,MATCH($B60,'Rolling CF'!$C:$C,0),MATCH(I$7,'Rolling CF'!$7:$7,0))</f>
        <v>-1580</v>
      </c>
      <c r="J60" s="30">
        <f>INDEX('Rolling CF'!$1:$1048576,MATCH($B60,'Rolling CF'!$C:$C,0),MATCH(J$7,'Rolling CF'!$7:$7,0))</f>
        <v>-903.33333333333337</v>
      </c>
      <c r="K60" s="30">
        <f>INDEX('Rolling CF'!$1:$1048576,MATCH($B60,'Rolling CF'!$C:$C,0),MATCH(K$7,'Rolling CF'!$7:$7,0))</f>
        <v>-625.55555555555554</v>
      </c>
      <c r="L60" s="30">
        <f>INDEX('Rolling CF'!$1:$1048576,MATCH($B60,'Rolling CF'!$C:$C,0),MATCH(L$7,'Rolling CF'!$7:$7,0))</f>
        <v>-729.81481481481478</v>
      </c>
      <c r="M60" s="30">
        <f>INDEX('Rolling CF'!$1:$1048576,MATCH($B60,'Rolling CF'!$C:$C,0),MATCH(M$7,'Rolling CF'!$7:$7,0))</f>
        <v>-851.45061728395058</v>
      </c>
      <c r="N60" s="30">
        <f>INDEX('Rolling CF'!$1:$1048576,MATCH($B60,'Rolling CF'!$C:$C,0),MATCH(N$7,'Rolling CF'!$7:$7,0))</f>
        <v>-993.35905349794245</v>
      </c>
      <c r="O60" s="30">
        <f>INDEX('Rolling CF'!$1:$1048576,MATCH($B60,'Rolling CF'!$C:$C,0),MATCH(O$7,'Rolling CF'!$7:$7,0))</f>
        <v>-947.25222908093281</v>
      </c>
      <c r="P60" s="30">
        <f>INDEX('Rolling CF'!$1:$1048576,MATCH($B60,'Rolling CF'!$C:$C,0),MATCH(P$7,'Rolling CF'!$7:$7,0))</f>
        <v>-841.79426726108829</v>
      </c>
      <c r="Q60" s="30">
        <f>INDEX('Rolling CF'!$1:$1048576,MATCH($B60,'Rolling CF'!$C:$C,0),MATCH(Q$7,'Rolling CF'!$7:$7,0))</f>
        <v>-831.53775624904745</v>
      </c>
      <c r="R60" s="30">
        <f>INDEX('Rolling CF'!$1:$1048576,MATCH($B60,'Rolling CF'!$C:$C,0),MATCH(R$7,'Rolling CF'!$7:$7,0))</f>
        <v>-865.86812303129602</v>
      </c>
      <c r="S60" s="30">
        <f>INDEX('Rolling CF'!$1:$1048576,MATCH($B60,'Rolling CF'!$C:$C,0),MATCH(S$7,'Rolling CF'!$7:$7,0))</f>
        <v>-888.54367440070962</v>
      </c>
      <c r="T60" s="30">
        <f>INDEX('Rolling CF'!$1:$1048576,MATCH($B60,'Rolling CF'!$C:$C,0),MATCH(T$7,'Rolling CF'!$7:$7,0))</f>
        <v>-894.72585058683615</v>
      </c>
      <c r="U60" s="30">
        <f>INDEX('Rolling CF'!$1:$1048576,MATCH($B60,'Rolling CF'!$C:$C,0),MATCH(U$7,'Rolling CF'!$7:$7,0))</f>
        <v>-878.2869834349849</v>
      </c>
      <c r="V60" s="30">
        <f>INDEX('Rolling CF'!$1:$1048576,MATCH($B60,'Rolling CF'!$C:$C,0),MATCH(V$7,'Rolling CF'!$7:$7,0))</f>
        <v>-866.79277582732709</v>
      </c>
    </row>
    <row r="61" spans="2:22" x14ac:dyDescent="0.3">
      <c r="B61" s="27"/>
      <c r="C61" s="28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spans="2:22" x14ac:dyDescent="0.3">
      <c r="B62" s="40" t="s">
        <v>87</v>
      </c>
      <c r="C62" s="41"/>
      <c r="D62" s="42">
        <f t="shared" ref="D62:V62" si="9">SUM(D41:D61)</f>
        <v>-374900</v>
      </c>
      <c r="E62" s="42">
        <f t="shared" si="9"/>
        <v>-124910</v>
      </c>
      <c r="F62" s="42">
        <f t="shared" si="9"/>
        <v>-180410</v>
      </c>
      <c r="G62" s="42">
        <f t="shared" si="9"/>
        <v>-66850</v>
      </c>
      <c r="H62" s="42">
        <f t="shared" si="9"/>
        <v>-166200</v>
      </c>
      <c r="I62" s="42">
        <f t="shared" si="9"/>
        <v>-483870</v>
      </c>
      <c r="J62" s="42">
        <f t="shared" si="9"/>
        <v>-51111.666666666672</v>
      </c>
      <c r="K62" s="42">
        <f t="shared" si="9"/>
        <v>-210073.61111111109</v>
      </c>
      <c r="L62" s="42">
        <f t="shared" si="9"/>
        <v>-43869.212962962971</v>
      </c>
      <c r="M62" s="42">
        <f t="shared" si="9"/>
        <v>-209469.08179012345</v>
      </c>
      <c r="N62" s="42">
        <f t="shared" si="9"/>
        <v>-43852.262088477379</v>
      </c>
      <c r="O62" s="42">
        <f t="shared" si="9"/>
        <v>-94530.972436556927</v>
      </c>
      <c r="P62" s="42">
        <f t="shared" si="9"/>
        <v>-45551.134509316427</v>
      </c>
      <c r="Q62" s="42">
        <f t="shared" si="9"/>
        <v>-260224.37914975805</v>
      </c>
      <c r="R62" s="42">
        <f t="shared" si="9"/>
        <v>-177082.84048953257</v>
      </c>
      <c r="S62" s="42">
        <f t="shared" si="9"/>
        <v>-194585.11174396079</v>
      </c>
      <c r="T62" s="42">
        <f t="shared" si="9"/>
        <v>-144604.45006960034</v>
      </c>
      <c r="U62" s="42">
        <f t="shared" si="9"/>
        <v>-272729.8147331209</v>
      </c>
      <c r="V62" s="42">
        <f t="shared" si="9"/>
        <v>-44762.955115881501</v>
      </c>
    </row>
    <row r="63" spans="2:22" x14ac:dyDescent="0.3">
      <c r="C63" s="28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spans="2:22" ht="14.5" x14ac:dyDescent="0.45">
      <c r="B64" s="20" t="s">
        <v>88</v>
      </c>
      <c r="C64" s="37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2:22" x14ac:dyDescent="0.3">
      <c r="B65" s="27" t="s">
        <v>89</v>
      </c>
      <c r="C65" s="28" t="s">
        <v>61</v>
      </c>
      <c r="D65" s="30">
        <f>INDEX('Rolling CF'!$1:$1048576,MATCH($B65,'Rolling CF'!$C:$C,0),MATCH(D$7,'Rolling CF'!$7:$7,0))</f>
        <v>0</v>
      </c>
      <c r="E65" s="30">
        <f>INDEX('Rolling CF'!$1:$1048576,MATCH($B65,'Rolling CF'!$C:$C,0),MATCH(E$7,'Rolling CF'!$7:$7,0))</f>
        <v>0</v>
      </c>
      <c r="F65" s="30">
        <f>INDEX('Rolling CF'!$1:$1048576,MATCH($B65,'Rolling CF'!$C:$C,0),MATCH(F$7,'Rolling CF'!$7:$7,0))</f>
        <v>0</v>
      </c>
      <c r="G65" s="30">
        <f>INDEX('Rolling CF'!$1:$1048576,MATCH($B65,'Rolling CF'!$C:$C,0),MATCH(G$7,'Rolling CF'!$7:$7,0))</f>
        <v>0</v>
      </c>
      <c r="H65" s="30">
        <f>INDEX('Rolling CF'!$1:$1048576,MATCH($B65,'Rolling CF'!$C:$C,0),MATCH(H$7,'Rolling CF'!$7:$7,0))</f>
        <v>0</v>
      </c>
      <c r="I65" s="30">
        <f>INDEX('Rolling CF'!$1:$1048576,MATCH($B65,'Rolling CF'!$C:$C,0),MATCH(I$7,'Rolling CF'!$7:$7,0))</f>
        <v>0</v>
      </c>
      <c r="J65" s="30">
        <f>INDEX('Rolling CF'!$1:$1048576,MATCH($B65,'Rolling CF'!$C:$C,0),MATCH(J$7,'Rolling CF'!$7:$7,0))</f>
        <v>0</v>
      </c>
      <c r="K65" s="30">
        <f>INDEX('Rolling CF'!$1:$1048576,MATCH($B65,'Rolling CF'!$C:$C,0),MATCH(K$7,'Rolling CF'!$7:$7,0))</f>
        <v>0</v>
      </c>
      <c r="L65" s="30">
        <f>INDEX('Rolling CF'!$1:$1048576,MATCH($B65,'Rolling CF'!$C:$C,0),MATCH(L$7,'Rolling CF'!$7:$7,0))</f>
        <v>0</v>
      </c>
      <c r="M65" s="30">
        <f>INDEX('Rolling CF'!$1:$1048576,MATCH($B65,'Rolling CF'!$C:$C,0),MATCH(M$7,'Rolling CF'!$7:$7,0))</f>
        <v>0</v>
      </c>
      <c r="N65" s="30">
        <f>INDEX('Rolling CF'!$1:$1048576,MATCH($B65,'Rolling CF'!$C:$C,0),MATCH(N$7,'Rolling CF'!$7:$7,0))</f>
        <v>0</v>
      </c>
      <c r="O65" s="30">
        <f>INDEX('Rolling CF'!$1:$1048576,MATCH($B65,'Rolling CF'!$C:$C,0),MATCH(O$7,'Rolling CF'!$7:$7,0))</f>
        <v>0</v>
      </c>
      <c r="P65" s="30">
        <f>INDEX('Rolling CF'!$1:$1048576,MATCH($B65,'Rolling CF'!$C:$C,0),MATCH(P$7,'Rolling CF'!$7:$7,0))</f>
        <v>0</v>
      </c>
      <c r="Q65" s="30">
        <f>INDEX('Rolling CF'!$1:$1048576,MATCH($B65,'Rolling CF'!$C:$C,0),MATCH(Q$7,'Rolling CF'!$7:$7,0))</f>
        <v>0</v>
      </c>
      <c r="R65" s="30">
        <f>INDEX('Rolling CF'!$1:$1048576,MATCH($B65,'Rolling CF'!$C:$C,0),MATCH(R$7,'Rolling CF'!$7:$7,0))</f>
        <v>0</v>
      </c>
      <c r="S65" s="30">
        <f>INDEX('Rolling CF'!$1:$1048576,MATCH($B65,'Rolling CF'!$C:$C,0),MATCH(S$7,'Rolling CF'!$7:$7,0))</f>
        <v>0</v>
      </c>
      <c r="T65" s="30">
        <f>INDEX('Rolling CF'!$1:$1048576,MATCH($B65,'Rolling CF'!$C:$C,0),MATCH(T$7,'Rolling CF'!$7:$7,0))</f>
        <v>0</v>
      </c>
      <c r="U65" s="30">
        <f>INDEX('Rolling CF'!$1:$1048576,MATCH($B65,'Rolling CF'!$C:$C,0),MATCH(U$7,'Rolling CF'!$7:$7,0))</f>
        <v>0</v>
      </c>
      <c r="V65" s="30">
        <f>INDEX('Rolling CF'!$1:$1048576,MATCH($B65,'Rolling CF'!$C:$C,0),MATCH(V$7,'Rolling CF'!$7:$7,0))</f>
        <v>0</v>
      </c>
    </row>
    <row r="66" spans="2:22" x14ac:dyDescent="0.3">
      <c r="B66" s="27" t="s">
        <v>90</v>
      </c>
      <c r="C66" s="28" t="s">
        <v>61</v>
      </c>
      <c r="D66" s="30">
        <f>INDEX('Rolling CF'!$1:$1048576,MATCH($B66,'Rolling CF'!$C:$C,0),MATCH(D$7,'Rolling CF'!$7:$7,0))</f>
        <v>0</v>
      </c>
      <c r="E66" s="30">
        <f>INDEX('Rolling CF'!$1:$1048576,MATCH($B66,'Rolling CF'!$C:$C,0),MATCH(E$7,'Rolling CF'!$7:$7,0))</f>
        <v>0</v>
      </c>
      <c r="F66" s="30">
        <f>INDEX('Rolling CF'!$1:$1048576,MATCH($B66,'Rolling CF'!$C:$C,0),MATCH(F$7,'Rolling CF'!$7:$7,0))</f>
        <v>0</v>
      </c>
      <c r="G66" s="30">
        <f>INDEX('Rolling CF'!$1:$1048576,MATCH($B66,'Rolling CF'!$C:$C,0),MATCH(G$7,'Rolling CF'!$7:$7,0))</f>
        <v>0</v>
      </c>
      <c r="H66" s="30">
        <f>INDEX('Rolling CF'!$1:$1048576,MATCH($B66,'Rolling CF'!$C:$C,0),MATCH(H$7,'Rolling CF'!$7:$7,0))</f>
        <v>0</v>
      </c>
      <c r="I66" s="30">
        <f>INDEX('Rolling CF'!$1:$1048576,MATCH($B66,'Rolling CF'!$C:$C,0),MATCH(I$7,'Rolling CF'!$7:$7,0))</f>
        <v>0</v>
      </c>
      <c r="J66" s="30">
        <f>INDEX('Rolling CF'!$1:$1048576,MATCH($B66,'Rolling CF'!$C:$C,0),MATCH(J$7,'Rolling CF'!$7:$7,0))</f>
        <v>0</v>
      </c>
      <c r="K66" s="30">
        <f>INDEX('Rolling CF'!$1:$1048576,MATCH($B66,'Rolling CF'!$C:$C,0),MATCH(K$7,'Rolling CF'!$7:$7,0))</f>
        <v>0</v>
      </c>
      <c r="L66" s="30">
        <f>INDEX('Rolling CF'!$1:$1048576,MATCH($B66,'Rolling CF'!$C:$C,0),MATCH(L$7,'Rolling CF'!$7:$7,0))</f>
        <v>0</v>
      </c>
      <c r="M66" s="30">
        <f>INDEX('Rolling CF'!$1:$1048576,MATCH($B66,'Rolling CF'!$C:$C,0),MATCH(M$7,'Rolling CF'!$7:$7,0))</f>
        <v>0</v>
      </c>
      <c r="N66" s="30">
        <f>INDEX('Rolling CF'!$1:$1048576,MATCH($B66,'Rolling CF'!$C:$C,0),MATCH(N$7,'Rolling CF'!$7:$7,0))</f>
        <v>0</v>
      </c>
      <c r="O66" s="30">
        <f>INDEX('Rolling CF'!$1:$1048576,MATCH($B66,'Rolling CF'!$C:$C,0),MATCH(O$7,'Rolling CF'!$7:$7,0))</f>
        <v>0</v>
      </c>
      <c r="P66" s="30">
        <f>INDEX('Rolling CF'!$1:$1048576,MATCH($B66,'Rolling CF'!$C:$C,0),MATCH(P$7,'Rolling CF'!$7:$7,0))</f>
        <v>0</v>
      </c>
      <c r="Q66" s="30">
        <f>INDEX('Rolling CF'!$1:$1048576,MATCH($B66,'Rolling CF'!$C:$C,0),MATCH(Q$7,'Rolling CF'!$7:$7,0))</f>
        <v>0</v>
      </c>
      <c r="R66" s="30">
        <f>INDEX('Rolling CF'!$1:$1048576,MATCH($B66,'Rolling CF'!$C:$C,0),MATCH(R$7,'Rolling CF'!$7:$7,0))</f>
        <v>0</v>
      </c>
      <c r="S66" s="30">
        <f>INDEX('Rolling CF'!$1:$1048576,MATCH($B66,'Rolling CF'!$C:$C,0),MATCH(S$7,'Rolling CF'!$7:$7,0))</f>
        <v>0</v>
      </c>
      <c r="T66" s="30">
        <f>INDEX('Rolling CF'!$1:$1048576,MATCH($B66,'Rolling CF'!$C:$C,0),MATCH(T$7,'Rolling CF'!$7:$7,0))</f>
        <v>0</v>
      </c>
      <c r="U66" s="30">
        <f>INDEX('Rolling CF'!$1:$1048576,MATCH($B66,'Rolling CF'!$C:$C,0),MATCH(U$7,'Rolling CF'!$7:$7,0))</f>
        <v>0</v>
      </c>
      <c r="V66" s="30">
        <f>INDEX('Rolling CF'!$1:$1048576,MATCH($B66,'Rolling CF'!$C:$C,0),MATCH(V$7,'Rolling CF'!$7:$7,0))</f>
        <v>0</v>
      </c>
    </row>
    <row r="67" spans="2:22" x14ac:dyDescent="0.3">
      <c r="B67" s="27" t="s">
        <v>91</v>
      </c>
      <c r="C67" s="28" t="s">
        <v>61</v>
      </c>
      <c r="D67" s="30">
        <f>INDEX('Rolling CF'!$1:$1048576,MATCH($B67,'Rolling CF'!$C:$C,0),MATCH(D$7,'Rolling CF'!$7:$7,0))</f>
        <v>0</v>
      </c>
      <c r="E67" s="30">
        <f>INDEX('Rolling CF'!$1:$1048576,MATCH($B67,'Rolling CF'!$C:$C,0),MATCH(E$7,'Rolling CF'!$7:$7,0))</f>
        <v>0</v>
      </c>
      <c r="F67" s="30">
        <f>INDEX('Rolling CF'!$1:$1048576,MATCH($B67,'Rolling CF'!$C:$C,0),MATCH(F$7,'Rolling CF'!$7:$7,0))</f>
        <v>0</v>
      </c>
      <c r="G67" s="30">
        <f>INDEX('Rolling CF'!$1:$1048576,MATCH($B67,'Rolling CF'!$C:$C,0),MATCH(G$7,'Rolling CF'!$7:$7,0))</f>
        <v>0</v>
      </c>
      <c r="H67" s="30">
        <f>INDEX('Rolling CF'!$1:$1048576,MATCH($B67,'Rolling CF'!$C:$C,0),MATCH(H$7,'Rolling CF'!$7:$7,0))</f>
        <v>0</v>
      </c>
      <c r="I67" s="30">
        <f>INDEX('Rolling CF'!$1:$1048576,MATCH($B67,'Rolling CF'!$C:$C,0),MATCH(I$7,'Rolling CF'!$7:$7,0))</f>
        <v>0</v>
      </c>
      <c r="J67" s="30">
        <f>INDEX('Rolling CF'!$1:$1048576,MATCH($B67,'Rolling CF'!$C:$C,0),MATCH(J$7,'Rolling CF'!$7:$7,0))</f>
        <v>0</v>
      </c>
      <c r="K67" s="30">
        <f>INDEX('Rolling CF'!$1:$1048576,MATCH($B67,'Rolling CF'!$C:$C,0),MATCH(K$7,'Rolling CF'!$7:$7,0))</f>
        <v>0</v>
      </c>
      <c r="L67" s="30">
        <f>INDEX('Rolling CF'!$1:$1048576,MATCH($B67,'Rolling CF'!$C:$C,0),MATCH(L$7,'Rolling CF'!$7:$7,0))</f>
        <v>0</v>
      </c>
      <c r="M67" s="30">
        <f>INDEX('Rolling CF'!$1:$1048576,MATCH($B67,'Rolling CF'!$C:$C,0),MATCH(M$7,'Rolling CF'!$7:$7,0))</f>
        <v>0</v>
      </c>
      <c r="N67" s="30">
        <f>INDEX('Rolling CF'!$1:$1048576,MATCH($B67,'Rolling CF'!$C:$C,0),MATCH(N$7,'Rolling CF'!$7:$7,0))</f>
        <v>0</v>
      </c>
      <c r="O67" s="30">
        <f>INDEX('Rolling CF'!$1:$1048576,MATCH($B67,'Rolling CF'!$C:$C,0),MATCH(O$7,'Rolling CF'!$7:$7,0))</f>
        <v>0</v>
      </c>
      <c r="P67" s="30">
        <f>INDEX('Rolling CF'!$1:$1048576,MATCH($B67,'Rolling CF'!$C:$C,0),MATCH(P$7,'Rolling CF'!$7:$7,0))</f>
        <v>0</v>
      </c>
      <c r="Q67" s="30">
        <f>INDEX('Rolling CF'!$1:$1048576,MATCH($B67,'Rolling CF'!$C:$C,0),MATCH(Q$7,'Rolling CF'!$7:$7,0))</f>
        <v>0</v>
      </c>
      <c r="R67" s="30">
        <f>INDEX('Rolling CF'!$1:$1048576,MATCH($B67,'Rolling CF'!$C:$C,0),MATCH(R$7,'Rolling CF'!$7:$7,0))</f>
        <v>0</v>
      </c>
      <c r="S67" s="30">
        <f>INDEX('Rolling CF'!$1:$1048576,MATCH($B67,'Rolling CF'!$C:$C,0),MATCH(S$7,'Rolling CF'!$7:$7,0))</f>
        <v>0</v>
      </c>
      <c r="T67" s="30">
        <f>INDEX('Rolling CF'!$1:$1048576,MATCH($B67,'Rolling CF'!$C:$C,0),MATCH(T$7,'Rolling CF'!$7:$7,0))</f>
        <v>0</v>
      </c>
      <c r="U67" s="30">
        <f>INDEX('Rolling CF'!$1:$1048576,MATCH($B67,'Rolling CF'!$C:$C,0),MATCH(U$7,'Rolling CF'!$7:$7,0))</f>
        <v>0</v>
      </c>
      <c r="V67" s="30">
        <f>INDEX('Rolling CF'!$1:$1048576,MATCH($B67,'Rolling CF'!$C:$C,0),MATCH(V$7,'Rolling CF'!$7:$7,0))</f>
        <v>0</v>
      </c>
    </row>
    <row r="68" spans="2:22" x14ac:dyDescent="0.3">
      <c r="B68" s="27" t="s">
        <v>92</v>
      </c>
      <c r="C68" s="28" t="s">
        <v>61</v>
      </c>
      <c r="D68" s="30">
        <f>INDEX('Rolling CF'!$1:$1048576,MATCH($B68,'Rolling CF'!$C:$C,0),MATCH(D$7,'Rolling CF'!$7:$7,0))</f>
        <v>0</v>
      </c>
      <c r="E68" s="30">
        <f>INDEX('Rolling CF'!$1:$1048576,MATCH($B68,'Rolling CF'!$C:$C,0),MATCH(E$7,'Rolling CF'!$7:$7,0))</f>
        <v>0</v>
      </c>
      <c r="F68" s="30">
        <f>INDEX('Rolling CF'!$1:$1048576,MATCH($B68,'Rolling CF'!$C:$C,0),MATCH(F$7,'Rolling CF'!$7:$7,0))</f>
        <v>0</v>
      </c>
      <c r="G68" s="30">
        <f>INDEX('Rolling CF'!$1:$1048576,MATCH($B68,'Rolling CF'!$C:$C,0),MATCH(G$7,'Rolling CF'!$7:$7,0))</f>
        <v>0</v>
      </c>
      <c r="H68" s="30">
        <f>INDEX('Rolling CF'!$1:$1048576,MATCH($B68,'Rolling CF'!$C:$C,0),MATCH(H$7,'Rolling CF'!$7:$7,0))</f>
        <v>0</v>
      </c>
      <c r="I68" s="30">
        <f>INDEX('Rolling CF'!$1:$1048576,MATCH($B68,'Rolling CF'!$C:$C,0),MATCH(I$7,'Rolling CF'!$7:$7,0))</f>
        <v>0</v>
      </c>
      <c r="J68" s="30">
        <f>INDEX('Rolling CF'!$1:$1048576,MATCH($B68,'Rolling CF'!$C:$C,0),MATCH(J$7,'Rolling CF'!$7:$7,0))</f>
        <v>0</v>
      </c>
      <c r="K68" s="30">
        <f>INDEX('Rolling CF'!$1:$1048576,MATCH($B68,'Rolling CF'!$C:$C,0),MATCH(K$7,'Rolling CF'!$7:$7,0))</f>
        <v>0</v>
      </c>
      <c r="L68" s="30">
        <f>INDEX('Rolling CF'!$1:$1048576,MATCH($B68,'Rolling CF'!$C:$C,0),MATCH(L$7,'Rolling CF'!$7:$7,0))</f>
        <v>0</v>
      </c>
      <c r="M68" s="30">
        <f>INDEX('Rolling CF'!$1:$1048576,MATCH($B68,'Rolling CF'!$C:$C,0),MATCH(M$7,'Rolling CF'!$7:$7,0))</f>
        <v>0</v>
      </c>
      <c r="N68" s="30">
        <f>INDEX('Rolling CF'!$1:$1048576,MATCH($B68,'Rolling CF'!$C:$C,0),MATCH(N$7,'Rolling CF'!$7:$7,0))</f>
        <v>0</v>
      </c>
      <c r="O68" s="30">
        <f>INDEX('Rolling CF'!$1:$1048576,MATCH($B68,'Rolling CF'!$C:$C,0),MATCH(O$7,'Rolling CF'!$7:$7,0))</f>
        <v>0</v>
      </c>
      <c r="P68" s="30">
        <f>INDEX('Rolling CF'!$1:$1048576,MATCH($B68,'Rolling CF'!$C:$C,0),MATCH(P$7,'Rolling CF'!$7:$7,0))</f>
        <v>0</v>
      </c>
      <c r="Q68" s="30">
        <f>INDEX('Rolling CF'!$1:$1048576,MATCH($B68,'Rolling CF'!$C:$C,0),MATCH(Q$7,'Rolling CF'!$7:$7,0))</f>
        <v>0</v>
      </c>
      <c r="R68" s="30">
        <f>INDEX('Rolling CF'!$1:$1048576,MATCH($B68,'Rolling CF'!$C:$C,0),MATCH(R$7,'Rolling CF'!$7:$7,0))</f>
        <v>0</v>
      </c>
      <c r="S68" s="30">
        <f>INDEX('Rolling CF'!$1:$1048576,MATCH($B68,'Rolling CF'!$C:$C,0),MATCH(S$7,'Rolling CF'!$7:$7,0))</f>
        <v>0</v>
      </c>
      <c r="T68" s="30">
        <f>INDEX('Rolling CF'!$1:$1048576,MATCH($B68,'Rolling CF'!$C:$C,0),MATCH(T$7,'Rolling CF'!$7:$7,0))</f>
        <v>0</v>
      </c>
      <c r="U68" s="30">
        <f>INDEX('Rolling CF'!$1:$1048576,MATCH($B68,'Rolling CF'!$C:$C,0),MATCH(U$7,'Rolling CF'!$7:$7,0))</f>
        <v>0</v>
      </c>
      <c r="V68" s="30">
        <f>INDEX('Rolling CF'!$1:$1048576,MATCH($B68,'Rolling CF'!$C:$C,0),MATCH(V$7,'Rolling CF'!$7:$7,0))</f>
        <v>0</v>
      </c>
    </row>
    <row r="69" spans="2:22" x14ac:dyDescent="0.3">
      <c r="B69" s="27" t="s">
        <v>93</v>
      </c>
      <c r="C69" s="28" t="s">
        <v>67</v>
      </c>
      <c r="D69" s="30">
        <f>INDEX('Rolling CF'!$1:$1048576,MATCH($B69,'Rolling CF'!$C:$C,0),MATCH(D$7,'Rolling CF'!$7:$7,0))</f>
        <v>-24740</v>
      </c>
      <c r="E69" s="30">
        <f>INDEX('Rolling CF'!$1:$1048576,MATCH($B69,'Rolling CF'!$C:$C,0),MATCH(E$7,'Rolling CF'!$7:$7,0))</f>
        <v>-20220</v>
      </c>
      <c r="F69" s="30">
        <f>INDEX('Rolling CF'!$1:$1048576,MATCH($B69,'Rolling CF'!$C:$C,0),MATCH(F$7,'Rolling CF'!$7:$7,0))</f>
        <v>-14200</v>
      </c>
      <c r="G69" s="30">
        <f>INDEX('Rolling CF'!$1:$1048576,MATCH($B69,'Rolling CF'!$C:$C,0),MATCH(G$7,'Rolling CF'!$7:$7,0))</f>
        <v>-12680</v>
      </c>
      <c r="H69" s="30">
        <f>INDEX('Rolling CF'!$1:$1048576,MATCH($B69,'Rolling CF'!$C:$C,0),MATCH(H$7,'Rolling CF'!$7:$7,0))</f>
        <v>-12340</v>
      </c>
      <c r="I69" s="30">
        <f>INDEX('Rolling CF'!$1:$1048576,MATCH($B69,'Rolling CF'!$C:$C,0),MATCH(I$7,'Rolling CF'!$7:$7,0))</f>
        <v>-8560</v>
      </c>
      <c r="J69" s="30">
        <f>INDEX('Rolling CF'!$1:$1048576,MATCH($B69,'Rolling CF'!$C:$C,0),MATCH(J$7,'Rolling CF'!$7:$7,0))</f>
        <v>-15456.666666666666</v>
      </c>
      <c r="K69" s="30">
        <f>INDEX('Rolling CF'!$1:$1048576,MATCH($B69,'Rolling CF'!$C:$C,0),MATCH(K$7,'Rolling CF'!$7:$7,0))</f>
        <v>-13909.444444444445</v>
      </c>
      <c r="L69" s="30">
        <f>INDEX('Rolling CF'!$1:$1048576,MATCH($B69,'Rolling CF'!$C:$C,0),MATCH(L$7,'Rolling CF'!$7:$7,0))</f>
        <v>-12857.685185185184</v>
      </c>
      <c r="M69" s="30">
        <f>INDEX('Rolling CF'!$1:$1048576,MATCH($B69,'Rolling CF'!$C:$C,0),MATCH(M$7,'Rolling CF'!$7:$7,0))</f>
        <v>-12633.966049382716</v>
      </c>
      <c r="N69" s="30">
        <f>INDEX('Rolling CF'!$1:$1048576,MATCH($B69,'Rolling CF'!$C:$C,0),MATCH(N$7,'Rolling CF'!$7:$7,0))</f>
        <v>-12626.293724279834</v>
      </c>
      <c r="O69" s="30">
        <f>INDEX('Rolling CF'!$1:$1048576,MATCH($B69,'Rolling CF'!$C:$C,0),MATCH(O$7,'Rolling CF'!$7:$7,0))</f>
        <v>-12674.009344993139</v>
      </c>
      <c r="P69" s="30">
        <f>INDEX('Rolling CF'!$1:$1048576,MATCH($B69,'Rolling CF'!$C:$C,0),MATCH(P$7,'Rolling CF'!$7:$7,0))</f>
        <v>-13359.677569158664</v>
      </c>
      <c r="Q69" s="30">
        <f>INDEX('Rolling CF'!$1:$1048576,MATCH($B69,'Rolling CF'!$C:$C,0),MATCH(Q$7,'Rolling CF'!$7:$7,0))</f>
        <v>-13010.179386240663</v>
      </c>
      <c r="R69" s="30">
        <f>INDEX('Rolling CF'!$1:$1048576,MATCH($B69,'Rolling CF'!$C:$C,0),MATCH(R$7,'Rolling CF'!$7:$7,0))</f>
        <v>-12860.301876540034</v>
      </c>
      <c r="S69" s="30">
        <f>INDEX('Rolling CF'!$1:$1048576,MATCH($B69,'Rolling CF'!$C:$C,0),MATCH(S$7,'Rolling CF'!$7:$7,0))</f>
        <v>-12860.737991765842</v>
      </c>
      <c r="T69" s="30">
        <f>INDEX('Rolling CF'!$1:$1048576,MATCH($B69,'Rolling CF'!$C:$C,0),MATCH(T$7,'Rolling CF'!$7:$7,0))</f>
        <v>-12898.533315496365</v>
      </c>
      <c r="U69" s="30">
        <f>INDEX('Rolling CF'!$1:$1048576,MATCH($B69,'Rolling CF'!$C:$C,0),MATCH(U$7,'Rolling CF'!$7:$7,0))</f>
        <v>-12943.906580699118</v>
      </c>
      <c r="V69" s="30">
        <f>INDEX('Rolling CF'!$1:$1048576,MATCH($B69,'Rolling CF'!$C:$C,0),MATCH(V$7,'Rolling CF'!$7:$7,0))</f>
        <v>-12988.889453316782</v>
      </c>
    </row>
    <row r="70" spans="2:22" x14ac:dyDescent="0.3">
      <c r="B70" s="27" t="s">
        <v>94</v>
      </c>
      <c r="C70" s="28" t="s">
        <v>61</v>
      </c>
      <c r="D70" s="30">
        <f>INDEX('Rolling CF'!$1:$1048576,MATCH($B70,'Rolling CF'!$C:$C,0),MATCH(D$7,'Rolling CF'!$7:$7,0))</f>
        <v>0</v>
      </c>
      <c r="E70" s="30">
        <f>INDEX('Rolling CF'!$1:$1048576,MATCH($B70,'Rolling CF'!$C:$C,0),MATCH(E$7,'Rolling CF'!$7:$7,0))</f>
        <v>0</v>
      </c>
      <c r="F70" s="30">
        <f>INDEX('Rolling CF'!$1:$1048576,MATCH($B70,'Rolling CF'!$C:$C,0),MATCH(F$7,'Rolling CF'!$7:$7,0))</f>
        <v>0</v>
      </c>
      <c r="G70" s="30">
        <f>INDEX('Rolling CF'!$1:$1048576,MATCH($B70,'Rolling CF'!$C:$C,0),MATCH(G$7,'Rolling CF'!$7:$7,0))</f>
        <v>0</v>
      </c>
      <c r="H70" s="30">
        <f>INDEX('Rolling CF'!$1:$1048576,MATCH($B70,'Rolling CF'!$C:$C,0),MATCH(H$7,'Rolling CF'!$7:$7,0))</f>
        <v>0</v>
      </c>
      <c r="I70" s="30">
        <f>INDEX('Rolling CF'!$1:$1048576,MATCH($B70,'Rolling CF'!$C:$C,0),MATCH(I$7,'Rolling CF'!$7:$7,0))</f>
        <v>0</v>
      </c>
      <c r="J70" s="30">
        <f>INDEX('Rolling CF'!$1:$1048576,MATCH($B70,'Rolling CF'!$C:$C,0),MATCH(J$7,'Rolling CF'!$7:$7,0))</f>
        <v>0</v>
      </c>
      <c r="K70" s="30">
        <f>INDEX('Rolling CF'!$1:$1048576,MATCH($B70,'Rolling CF'!$C:$C,0),MATCH(K$7,'Rolling CF'!$7:$7,0))</f>
        <v>0</v>
      </c>
      <c r="L70" s="30">
        <f>INDEX('Rolling CF'!$1:$1048576,MATCH($B70,'Rolling CF'!$C:$C,0),MATCH(L$7,'Rolling CF'!$7:$7,0))</f>
        <v>0</v>
      </c>
      <c r="M70" s="30">
        <f>INDEX('Rolling CF'!$1:$1048576,MATCH($B70,'Rolling CF'!$C:$C,0),MATCH(M$7,'Rolling CF'!$7:$7,0))</f>
        <v>0</v>
      </c>
      <c r="N70" s="30">
        <f>INDEX('Rolling CF'!$1:$1048576,MATCH($B70,'Rolling CF'!$C:$C,0),MATCH(N$7,'Rolling CF'!$7:$7,0))</f>
        <v>0</v>
      </c>
      <c r="O70" s="30">
        <f>INDEX('Rolling CF'!$1:$1048576,MATCH($B70,'Rolling CF'!$C:$C,0),MATCH(O$7,'Rolling CF'!$7:$7,0))</f>
        <v>0</v>
      </c>
      <c r="P70" s="30">
        <f>INDEX('Rolling CF'!$1:$1048576,MATCH($B70,'Rolling CF'!$C:$C,0),MATCH(P$7,'Rolling CF'!$7:$7,0))</f>
        <v>0</v>
      </c>
      <c r="Q70" s="30">
        <f>INDEX('Rolling CF'!$1:$1048576,MATCH($B70,'Rolling CF'!$C:$C,0),MATCH(Q$7,'Rolling CF'!$7:$7,0))</f>
        <v>0</v>
      </c>
      <c r="R70" s="30">
        <f>INDEX('Rolling CF'!$1:$1048576,MATCH($B70,'Rolling CF'!$C:$C,0),MATCH(R$7,'Rolling CF'!$7:$7,0))</f>
        <v>0</v>
      </c>
      <c r="S70" s="30">
        <f>INDEX('Rolling CF'!$1:$1048576,MATCH($B70,'Rolling CF'!$C:$C,0),MATCH(S$7,'Rolling CF'!$7:$7,0))</f>
        <v>0</v>
      </c>
      <c r="T70" s="30">
        <f>INDEX('Rolling CF'!$1:$1048576,MATCH($B70,'Rolling CF'!$C:$C,0),MATCH(T$7,'Rolling CF'!$7:$7,0))</f>
        <v>0</v>
      </c>
      <c r="U70" s="30">
        <f>INDEX('Rolling CF'!$1:$1048576,MATCH($B70,'Rolling CF'!$C:$C,0),MATCH(U$7,'Rolling CF'!$7:$7,0))</f>
        <v>0</v>
      </c>
      <c r="V70" s="30">
        <f>INDEX('Rolling CF'!$1:$1048576,MATCH($B70,'Rolling CF'!$C:$C,0),MATCH(V$7,'Rolling CF'!$7:$7,0))</f>
        <v>0</v>
      </c>
    </row>
    <row r="71" spans="2:22" x14ac:dyDescent="0.3">
      <c r="B71" s="27" t="s">
        <v>95</v>
      </c>
      <c r="C71" s="28" t="s">
        <v>61</v>
      </c>
      <c r="D71" s="30">
        <f>INDEX('Rolling CF'!$1:$1048576,MATCH($B71,'Rolling CF'!$C:$C,0),MATCH(D$7,'Rolling CF'!$7:$7,0))</f>
        <v>0</v>
      </c>
      <c r="E71" s="30">
        <f>INDEX('Rolling CF'!$1:$1048576,MATCH($B71,'Rolling CF'!$C:$C,0),MATCH(E$7,'Rolling CF'!$7:$7,0))</f>
        <v>0</v>
      </c>
      <c r="F71" s="30">
        <f>INDEX('Rolling CF'!$1:$1048576,MATCH($B71,'Rolling CF'!$C:$C,0),MATCH(F$7,'Rolling CF'!$7:$7,0))</f>
        <v>0</v>
      </c>
      <c r="G71" s="30">
        <f>INDEX('Rolling CF'!$1:$1048576,MATCH($B71,'Rolling CF'!$C:$C,0),MATCH(G$7,'Rolling CF'!$7:$7,0))</f>
        <v>0</v>
      </c>
      <c r="H71" s="30">
        <f>INDEX('Rolling CF'!$1:$1048576,MATCH($B71,'Rolling CF'!$C:$C,0),MATCH(H$7,'Rolling CF'!$7:$7,0))</f>
        <v>0</v>
      </c>
      <c r="I71" s="30">
        <f>INDEX('Rolling CF'!$1:$1048576,MATCH($B71,'Rolling CF'!$C:$C,0),MATCH(I$7,'Rolling CF'!$7:$7,0))</f>
        <v>0</v>
      </c>
      <c r="J71" s="30">
        <f>INDEX('Rolling CF'!$1:$1048576,MATCH($B71,'Rolling CF'!$C:$C,0),MATCH(J$7,'Rolling CF'!$7:$7,0))</f>
        <v>0</v>
      </c>
      <c r="K71" s="30">
        <f>INDEX('Rolling CF'!$1:$1048576,MATCH($B71,'Rolling CF'!$C:$C,0),MATCH(K$7,'Rolling CF'!$7:$7,0))</f>
        <v>0</v>
      </c>
      <c r="L71" s="30">
        <f>INDEX('Rolling CF'!$1:$1048576,MATCH($B71,'Rolling CF'!$C:$C,0),MATCH(L$7,'Rolling CF'!$7:$7,0))</f>
        <v>0</v>
      </c>
      <c r="M71" s="30">
        <f>INDEX('Rolling CF'!$1:$1048576,MATCH($B71,'Rolling CF'!$C:$C,0),MATCH(M$7,'Rolling CF'!$7:$7,0))</f>
        <v>0</v>
      </c>
      <c r="N71" s="30">
        <f>INDEX('Rolling CF'!$1:$1048576,MATCH($B71,'Rolling CF'!$C:$C,0),MATCH(N$7,'Rolling CF'!$7:$7,0))</f>
        <v>0</v>
      </c>
      <c r="O71" s="30">
        <f>INDEX('Rolling CF'!$1:$1048576,MATCH($B71,'Rolling CF'!$C:$C,0),MATCH(O$7,'Rolling CF'!$7:$7,0))</f>
        <v>0</v>
      </c>
      <c r="P71" s="30">
        <f>INDEX('Rolling CF'!$1:$1048576,MATCH($B71,'Rolling CF'!$C:$C,0),MATCH(P$7,'Rolling CF'!$7:$7,0))</f>
        <v>0</v>
      </c>
      <c r="Q71" s="30">
        <f>INDEX('Rolling CF'!$1:$1048576,MATCH($B71,'Rolling CF'!$C:$C,0),MATCH(Q$7,'Rolling CF'!$7:$7,0))</f>
        <v>0</v>
      </c>
      <c r="R71" s="30">
        <f>INDEX('Rolling CF'!$1:$1048576,MATCH($B71,'Rolling CF'!$C:$C,0),MATCH(R$7,'Rolling CF'!$7:$7,0))</f>
        <v>0</v>
      </c>
      <c r="S71" s="30">
        <f>INDEX('Rolling CF'!$1:$1048576,MATCH($B71,'Rolling CF'!$C:$C,0),MATCH(S$7,'Rolling CF'!$7:$7,0))</f>
        <v>0</v>
      </c>
      <c r="T71" s="30">
        <f>INDEX('Rolling CF'!$1:$1048576,MATCH($B71,'Rolling CF'!$C:$C,0),MATCH(T$7,'Rolling CF'!$7:$7,0))</f>
        <v>0</v>
      </c>
      <c r="U71" s="30">
        <f>INDEX('Rolling CF'!$1:$1048576,MATCH($B71,'Rolling CF'!$C:$C,0),MATCH(U$7,'Rolling CF'!$7:$7,0))</f>
        <v>0</v>
      </c>
      <c r="V71" s="30">
        <f>INDEX('Rolling CF'!$1:$1048576,MATCH($B71,'Rolling CF'!$C:$C,0),MATCH(V$7,'Rolling CF'!$7:$7,0))</f>
        <v>0</v>
      </c>
    </row>
    <row r="72" spans="2:22" x14ac:dyDescent="0.3">
      <c r="B72" s="27" t="s">
        <v>96</v>
      </c>
      <c r="C72" s="28" t="s">
        <v>67</v>
      </c>
      <c r="D72" s="30">
        <f>INDEX('Rolling CF'!$1:$1048576,MATCH($B72,'Rolling CF'!$C:$C,0),MATCH(D$7,'Rolling CF'!$7:$7,0))</f>
        <v>-8580</v>
      </c>
      <c r="E72" s="30">
        <f>INDEX('Rolling CF'!$1:$1048576,MATCH($B72,'Rolling CF'!$C:$C,0),MATCH(E$7,'Rolling CF'!$7:$7,0))</f>
        <v>0</v>
      </c>
      <c r="F72" s="30">
        <f>INDEX('Rolling CF'!$1:$1048576,MATCH($B72,'Rolling CF'!$C:$C,0),MATCH(F$7,'Rolling CF'!$7:$7,0))</f>
        <v>-1140</v>
      </c>
      <c r="G72" s="30">
        <f>INDEX('Rolling CF'!$1:$1048576,MATCH($B72,'Rolling CF'!$C:$C,0),MATCH(G$7,'Rolling CF'!$7:$7,0))</f>
        <v>0</v>
      </c>
      <c r="H72" s="30">
        <f>INDEX('Rolling CF'!$1:$1048576,MATCH($B72,'Rolling CF'!$C:$C,0),MATCH(H$7,'Rolling CF'!$7:$7,0))</f>
        <v>0</v>
      </c>
      <c r="I72" s="30">
        <f>INDEX('Rolling CF'!$1:$1048576,MATCH($B72,'Rolling CF'!$C:$C,0),MATCH(I$7,'Rolling CF'!$7:$7,0))</f>
        <v>-3260</v>
      </c>
      <c r="J72" s="30">
        <f>INDEX('Rolling CF'!$1:$1048576,MATCH($B72,'Rolling CF'!$C:$C,0),MATCH(J$7,'Rolling CF'!$7:$7,0))</f>
        <v>-2163.3333333333335</v>
      </c>
      <c r="K72" s="30">
        <f>INDEX('Rolling CF'!$1:$1048576,MATCH($B72,'Rolling CF'!$C:$C,0),MATCH(K$7,'Rolling CF'!$7:$7,0))</f>
        <v>-1093.8888888888889</v>
      </c>
      <c r="L72" s="30">
        <f>INDEX('Rolling CF'!$1:$1048576,MATCH($B72,'Rolling CF'!$C:$C,0),MATCH(L$7,'Rolling CF'!$7:$7,0))</f>
        <v>-1276.2037037037037</v>
      </c>
      <c r="M72" s="30">
        <f>INDEX('Rolling CF'!$1:$1048576,MATCH($B72,'Rolling CF'!$C:$C,0),MATCH(M$7,'Rolling CF'!$7:$7,0))</f>
        <v>-1298.9043209876543</v>
      </c>
      <c r="N72" s="30">
        <f>INDEX('Rolling CF'!$1:$1048576,MATCH($B72,'Rolling CF'!$C:$C,0),MATCH(N$7,'Rolling CF'!$7:$7,0))</f>
        <v>-1515.3883744855966</v>
      </c>
      <c r="O72" s="30">
        <f>INDEX('Rolling CF'!$1:$1048576,MATCH($B72,'Rolling CF'!$C:$C,0),MATCH(O$7,'Rolling CF'!$7:$7,0))</f>
        <v>-1767.9531035665295</v>
      </c>
      <c r="P72" s="30">
        <f>INDEX('Rolling CF'!$1:$1048576,MATCH($B72,'Rolling CF'!$C:$C,0),MATCH(P$7,'Rolling CF'!$7:$7,0))</f>
        <v>-1519.2786208276177</v>
      </c>
      <c r="Q72" s="30">
        <f>INDEX('Rolling CF'!$1:$1048576,MATCH($B72,'Rolling CF'!$C:$C,0),MATCH(Q$7,'Rolling CF'!$7:$7,0))</f>
        <v>-1411.9361687433318</v>
      </c>
      <c r="R72" s="30">
        <f>INDEX('Rolling CF'!$1:$1048576,MATCH($B72,'Rolling CF'!$C:$C,0),MATCH(R$7,'Rolling CF'!$7:$7,0))</f>
        <v>-1464.9440487190723</v>
      </c>
      <c r="S72" s="30">
        <f>INDEX('Rolling CF'!$1:$1048576,MATCH($B72,'Rolling CF'!$C:$C,0),MATCH(S$7,'Rolling CF'!$7:$7,0))</f>
        <v>-1496.4007728883005</v>
      </c>
      <c r="T72" s="30">
        <f>INDEX('Rolling CF'!$1:$1048576,MATCH($B72,'Rolling CF'!$C:$C,0),MATCH(T$7,'Rolling CF'!$7:$7,0))</f>
        <v>-1529.3168482050748</v>
      </c>
      <c r="U72" s="30">
        <f>INDEX('Rolling CF'!$1:$1048576,MATCH($B72,'Rolling CF'!$C:$C,0),MATCH(U$7,'Rolling CF'!$7:$7,0))</f>
        <v>-1531.6382604916544</v>
      </c>
      <c r="V72" s="30">
        <f>INDEX('Rolling CF'!$1:$1048576,MATCH($B72,'Rolling CF'!$C:$C,0),MATCH(V$7,'Rolling CF'!$7:$7,0))</f>
        <v>-1492.2524533125088</v>
      </c>
    </row>
    <row r="73" spans="2:22" x14ac:dyDescent="0.3">
      <c r="B73" s="27"/>
      <c r="C73" s="28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spans="2:22" x14ac:dyDescent="0.3">
      <c r="B74" s="40" t="s">
        <v>97</v>
      </c>
      <c r="C74" s="41"/>
      <c r="D74" s="42">
        <f t="shared" ref="D74:V74" si="10">SUM(D65:D73)</f>
        <v>-33320</v>
      </c>
      <c r="E74" s="42">
        <f t="shared" si="10"/>
        <v>-20220</v>
      </c>
      <c r="F74" s="42">
        <f t="shared" si="10"/>
        <v>-15340</v>
      </c>
      <c r="G74" s="42">
        <f t="shared" si="10"/>
        <v>-12680</v>
      </c>
      <c r="H74" s="42">
        <f t="shared" si="10"/>
        <v>-12340</v>
      </c>
      <c r="I74" s="42">
        <f t="shared" si="10"/>
        <v>-11820</v>
      </c>
      <c r="J74" s="42">
        <f t="shared" si="10"/>
        <v>-17620</v>
      </c>
      <c r="K74" s="42">
        <f t="shared" si="10"/>
        <v>-15003.333333333334</v>
      </c>
      <c r="L74" s="42">
        <f t="shared" si="10"/>
        <v>-14133.888888888889</v>
      </c>
      <c r="M74" s="42">
        <f t="shared" si="10"/>
        <v>-13932.87037037037</v>
      </c>
      <c r="N74" s="42">
        <f t="shared" si="10"/>
        <v>-14141.682098765432</v>
      </c>
      <c r="O74" s="42">
        <f t="shared" si="10"/>
        <v>-14441.962448559669</v>
      </c>
      <c r="P74" s="42">
        <f t="shared" si="10"/>
        <v>-14878.956189986282</v>
      </c>
      <c r="Q74" s="42">
        <f t="shared" si="10"/>
        <v>-14422.115554983995</v>
      </c>
      <c r="R74" s="42">
        <f t="shared" si="10"/>
        <v>-14325.245925259107</v>
      </c>
      <c r="S74" s="42">
        <f t="shared" si="10"/>
        <v>-14357.138764654143</v>
      </c>
      <c r="T74" s="42">
        <f t="shared" si="10"/>
        <v>-14427.85016370144</v>
      </c>
      <c r="U74" s="42">
        <f t="shared" si="10"/>
        <v>-14475.544841190773</v>
      </c>
      <c r="V74" s="42">
        <f t="shared" si="10"/>
        <v>-14481.141906629291</v>
      </c>
    </row>
    <row r="75" spans="2:22" x14ac:dyDescent="0.3">
      <c r="C75" s="28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spans="2:22" x14ac:dyDescent="0.3">
      <c r="B76" s="44" t="s">
        <v>53</v>
      </c>
      <c r="C76" s="45"/>
      <c r="D76" s="46">
        <f t="shared" ref="D76:V76" si="11">SUM(D38,D62,D74)</f>
        <v>-36120</v>
      </c>
      <c r="E76" s="46">
        <f t="shared" si="11"/>
        <v>65020</v>
      </c>
      <c r="F76" s="46">
        <f t="shared" si="11"/>
        <v>-195750</v>
      </c>
      <c r="G76" s="46">
        <f t="shared" si="11"/>
        <v>281900</v>
      </c>
      <c r="H76" s="46">
        <f t="shared" si="11"/>
        <v>-110100</v>
      </c>
      <c r="I76" s="46">
        <f t="shared" si="11"/>
        <v>-106220</v>
      </c>
      <c r="J76" s="46">
        <f t="shared" si="11"/>
        <v>51268.333333333328</v>
      </c>
      <c r="K76" s="46">
        <f t="shared" si="11"/>
        <v>328923.05555555556</v>
      </c>
      <c r="L76" s="46">
        <f t="shared" si="11"/>
        <v>21996.898148148139</v>
      </c>
      <c r="M76" s="46">
        <f t="shared" si="11"/>
        <v>-25001.952160493827</v>
      </c>
      <c r="N76" s="46">
        <f t="shared" si="11"/>
        <v>-57993.944187242814</v>
      </c>
      <c r="O76" s="46">
        <f t="shared" si="11"/>
        <v>162827.06511488339</v>
      </c>
      <c r="P76" s="46">
        <f t="shared" si="11"/>
        <v>19569.909300697291</v>
      </c>
      <c r="Q76" s="46">
        <f t="shared" si="11"/>
        <v>-274646.49470474204</v>
      </c>
      <c r="R76" s="46">
        <f t="shared" si="11"/>
        <v>-143408.08641479167</v>
      </c>
      <c r="S76" s="46">
        <f t="shared" si="11"/>
        <v>-208942.25050861493</v>
      </c>
      <c r="T76" s="46">
        <f t="shared" si="11"/>
        <v>165967.69976669824</v>
      </c>
      <c r="U76" s="46">
        <f t="shared" si="11"/>
        <v>-287205.3595743117</v>
      </c>
      <c r="V76" s="46">
        <f t="shared" si="11"/>
        <v>-59244.097022510789</v>
      </c>
    </row>
    <row r="78" spans="2:22" x14ac:dyDescent="0.3">
      <c r="C78" s="24" t="s">
        <v>236</v>
      </c>
      <c r="D78" s="74">
        <f>D7</f>
        <v>45234</v>
      </c>
      <c r="E78" s="74">
        <f t="shared" ref="E78:V78" si="12">E7</f>
        <v>45241</v>
      </c>
      <c r="F78" s="74">
        <f t="shared" si="12"/>
        <v>45248</v>
      </c>
      <c r="G78" s="74">
        <f t="shared" si="12"/>
        <v>45255</v>
      </c>
      <c r="H78" s="74">
        <f t="shared" si="12"/>
        <v>45262</v>
      </c>
      <c r="I78" s="74">
        <f t="shared" si="12"/>
        <v>45269</v>
      </c>
      <c r="J78" s="74">
        <f t="shared" si="12"/>
        <v>45276</v>
      </c>
      <c r="K78" s="74">
        <f t="shared" si="12"/>
        <v>45283</v>
      </c>
      <c r="L78" s="74">
        <f t="shared" si="12"/>
        <v>45290</v>
      </c>
      <c r="M78" s="74">
        <f t="shared" si="12"/>
        <v>45297</v>
      </c>
      <c r="N78" s="74">
        <f t="shared" si="12"/>
        <v>45304</v>
      </c>
      <c r="O78" s="74">
        <f t="shared" si="12"/>
        <v>45311</v>
      </c>
      <c r="P78" s="74">
        <f t="shared" si="12"/>
        <v>45318</v>
      </c>
      <c r="Q78" s="74">
        <f t="shared" si="12"/>
        <v>45325</v>
      </c>
      <c r="R78" s="74">
        <f t="shared" si="12"/>
        <v>45332</v>
      </c>
      <c r="S78" s="74">
        <f t="shared" si="12"/>
        <v>45339</v>
      </c>
      <c r="T78" s="74">
        <f t="shared" si="12"/>
        <v>45346</v>
      </c>
      <c r="U78" s="74">
        <f t="shared" si="12"/>
        <v>45353</v>
      </c>
      <c r="V78" s="74">
        <f t="shared" si="12"/>
        <v>45360</v>
      </c>
    </row>
    <row r="79" spans="2:22" x14ac:dyDescent="0.3">
      <c r="C79" s="24" t="s">
        <v>237</v>
      </c>
      <c r="D79" s="75">
        <f>D12</f>
        <v>174090</v>
      </c>
      <c r="E79" s="75">
        <f t="shared" ref="E79:V79" si="13">E12</f>
        <v>239110</v>
      </c>
      <c r="F79" s="75">
        <f t="shared" si="13"/>
        <v>43360</v>
      </c>
      <c r="G79" s="75">
        <f t="shared" si="13"/>
        <v>325260</v>
      </c>
      <c r="H79" s="75">
        <f t="shared" si="13"/>
        <v>215160</v>
      </c>
      <c r="I79" s="75">
        <f t="shared" si="13"/>
        <v>108940</v>
      </c>
      <c r="J79" s="75">
        <f t="shared" si="13"/>
        <v>160208.33333333331</v>
      </c>
      <c r="K79" s="75">
        <f t="shared" si="13"/>
        <v>489131.38888888888</v>
      </c>
      <c r="L79" s="75">
        <f t="shared" si="13"/>
        <v>511128.28703703702</v>
      </c>
      <c r="M79" s="75">
        <f t="shared" si="13"/>
        <v>486126.3348765432</v>
      </c>
      <c r="N79" s="75">
        <f t="shared" si="13"/>
        <v>428132.39068930037</v>
      </c>
      <c r="O79" s="75">
        <f t="shared" si="13"/>
        <v>590959.45580418373</v>
      </c>
      <c r="P79" s="75">
        <f t="shared" si="13"/>
        <v>610529.365104881</v>
      </c>
      <c r="Q79" s="75">
        <f t="shared" si="13"/>
        <v>335882.87040013896</v>
      </c>
      <c r="R79" s="75">
        <f t="shared" si="13"/>
        <v>192474.78398534728</v>
      </c>
      <c r="S79" s="75">
        <f t="shared" si="13"/>
        <v>-16467.466523267649</v>
      </c>
      <c r="T79" s="75">
        <f t="shared" si="13"/>
        <v>149500.23324343059</v>
      </c>
      <c r="U79" s="75">
        <f t="shared" si="13"/>
        <v>-137705.12633088112</v>
      </c>
      <c r="V79" s="75">
        <f t="shared" si="13"/>
        <v>-196949.22335339192</v>
      </c>
    </row>
    <row r="80" spans="2:22" x14ac:dyDescent="0.3">
      <c r="C80" s="24" t="s">
        <v>57</v>
      </c>
      <c r="D80" s="75">
        <f>D15</f>
        <v>174090</v>
      </c>
      <c r="E80" s="75">
        <f t="shared" ref="E80:U80" si="14">E15</f>
        <v>239110</v>
      </c>
      <c r="F80" s="75">
        <f t="shared" si="14"/>
        <v>43360</v>
      </c>
      <c r="G80" s="75">
        <f t="shared" si="14"/>
        <v>325260</v>
      </c>
      <c r="H80" s="75">
        <f t="shared" si="14"/>
        <v>215160</v>
      </c>
      <c r="I80" s="75">
        <f t="shared" si="14"/>
        <v>112041.66666666667</v>
      </c>
      <c r="J80" s="75">
        <f t="shared" si="14"/>
        <v>156995.27777777778</v>
      </c>
      <c r="K80" s="75">
        <f t="shared" si="14"/>
        <v>399451.15740740742</v>
      </c>
      <c r="L80" s="75">
        <f t="shared" si="14"/>
        <v>415303.01697530865</v>
      </c>
      <c r="M80" s="75">
        <f t="shared" si="14"/>
        <v>382731.85313786007</v>
      </c>
      <c r="N80" s="75">
        <f t="shared" si="14"/>
        <v>316373.82866083673</v>
      </c>
      <c r="O80" s="75">
        <f t="shared" si="14"/>
        <v>519442.80010430957</v>
      </c>
      <c r="P80" s="75">
        <f t="shared" si="14"/>
        <v>532142.98901058338</v>
      </c>
      <c r="Q80" s="75">
        <f t="shared" si="14"/>
        <v>472334.27421605098</v>
      </c>
      <c r="R80" s="75">
        <f t="shared" si="14"/>
        <v>279031.46035082493</v>
      </c>
      <c r="S80" s="75">
        <f t="shared" si="14"/>
        <v>412252.86758007761</v>
      </c>
      <c r="T80" s="75">
        <f t="shared" si="14"/>
        <v>580273.03665378049</v>
      </c>
      <c r="U80" s="75">
        <f t="shared" si="14"/>
        <v>291189.57131927111</v>
      </c>
      <c r="V80" s="75" t="e">
        <f>NA()</f>
        <v>#N/A</v>
      </c>
    </row>
  </sheetData>
  <conditionalFormatting sqref="C2">
    <cfRule type="cellIs" dxfId="18" priority="1" operator="notEqual">
      <formula>0</formula>
    </cfRule>
    <cfRule type="cellIs" dxfId="17" priority="2" operator="equal">
      <formula>0</formula>
    </cfRule>
  </conditionalFormatting>
  <conditionalFormatting sqref="C4:V4">
    <cfRule type="cellIs" dxfId="16" priority="3" operator="equal">
      <formula>"forecast"</formula>
    </cfRule>
    <cfRule type="cellIs" dxfId="15" priority="4" operator="equal">
      <formula>"actual"</formula>
    </cfRule>
  </conditionalFormatting>
  <conditionalFormatting sqref="C12:V12">
    <cfRule type="cellIs" dxfId="14" priority="5" operator="lessThan">
      <formula>0</formula>
    </cfRule>
  </conditionalFormatting>
  <pageMargins left="0" right="0" top="0" bottom="0" header="0" footer="0"/>
  <pageSetup scale="47" orientation="landscape" r:id="rId1"/>
  <ignoredErrors>
    <ignoredError sqref="D14:V14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C57E-F42F-4982-85B6-C36F45113A88}">
  <sheetPr>
    <tabColor rgb="FFC00000"/>
    <pageSetUpPr fitToPage="1"/>
  </sheetPr>
  <dimension ref="B2:W46"/>
  <sheetViews>
    <sheetView showGridLines="0" zoomScale="80" zoomScaleNormal="100" zoomScaleSheetLayoutView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O10" sqref="O10"/>
    </sheetView>
  </sheetViews>
  <sheetFormatPr defaultRowHeight="13" x14ac:dyDescent="0.3"/>
  <cols>
    <col min="1" max="1" width="2.69921875" customWidth="1"/>
    <col min="2" max="2" width="31.09765625" style="4" bestFit="1" customWidth="1"/>
    <col min="3" max="3" width="31.09765625" bestFit="1" customWidth="1"/>
    <col min="4" max="4" width="5.69921875" style="24" customWidth="1"/>
    <col min="5" max="23" width="10.69921875" customWidth="1"/>
  </cols>
  <sheetData>
    <row r="2" spans="2:23" x14ac:dyDescent="0.3">
      <c r="C2" t="s">
        <v>98</v>
      </c>
      <c r="D2" s="48">
        <f>'Error Checking'!$B$2</f>
        <v>0</v>
      </c>
    </row>
    <row r="4" spans="2:23" x14ac:dyDescent="0.3">
      <c r="C4" s="12" t="s">
        <v>44</v>
      </c>
      <c r="D4" s="13"/>
      <c r="E4" s="14" t="s">
        <v>45</v>
      </c>
      <c r="F4" s="14" t="s">
        <v>45</v>
      </c>
      <c r="G4" s="14" t="s">
        <v>45</v>
      </c>
      <c r="H4" s="14" t="s">
        <v>45</v>
      </c>
      <c r="I4" s="14" t="s">
        <v>45</v>
      </c>
      <c r="J4" s="14" t="s">
        <v>45</v>
      </c>
      <c r="K4" s="14" t="s">
        <v>45</v>
      </c>
      <c r="L4" s="14" t="s">
        <v>46</v>
      </c>
      <c r="M4" s="14" t="s">
        <v>46</v>
      </c>
      <c r="N4" s="14" t="s">
        <v>46</v>
      </c>
      <c r="O4" s="14" t="s">
        <v>46</v>
      </c>
      <c r="P4" s="14" t="s">
        <v>46</v>
      </c>
      <c r="Q4" s="14" t="s">
        <v>46</v>
      </c>
      <c r="R4" s="14" t="s">
        <v>46</v>
      </c>
      <c r="S4" s="14" t="s">
        <v>46</v>
      </c>
      <c r="T4" s="14" t="s">
        <v>46</v>
      </c>
      <c r="U4" s="14" t="s">
        <v>46</v>
      </c>
      <c r="V4" s="14" t="s">
        <v>46</v>
      </c>
      <c r="W4" s="14" t="s">
        <v>46</v>
      </c>
    </row>
    <row r="5" spans="2:23" x14ac:dyDescent="0.3">
      <c r="C5" s="12" t="s">
        <v>47</v>
      </c>
      <c r="D5" s="13"/>
      <c r="E5" s="16">
        <v>1</v>
      </c>
      <c r="F5" s="14">
        <f>E5+1</f>
        <v>2</v>
      </c>
      <c r="G5" s="14">
        <f t="shared" ref="G5:W5" si="0">F5+1</f>
        <v>3</v>
      </c>
      <c r="H5" s="14">
        <f t="shared" si="0"/>
        <v>4</v>
      </c>
      <c r="I5" s="14">
        <f t="shared" si="0"/>
        <v>5</v>
      </c>
      <c r="J5" s="14">
        <f t="shared" si="0"/>
        <v>6</v>
      </c>
      <c r="K5" s="14">
        <f t="shared" si="0"/>
        <v>7</v>
      </c>
      <c r="L5" s="14">
        <f t="shared" si="0"/>
        <v>8</v>
      </c>
      <c r="M5" s="14">
        <f t="shared" si="0"/>
        <v>9</v>
      </c>
      <c r="N5" s="14">
        <f t="shared" si="0"/>
        <v>10</v>
      </c>
      <c r="O5" s="14">
        <f t="shared" si="0"/>
        <v>11</v>
      </c>
      <c r="P5" s="14">
        <f t="shared" si="0"/>
        <v>12</v>
      </c>
      <c r="Q5" s="14">
        <f t="shared" si="0"/>
        <v>13</v>
      </c>
      <c r="R5" s="14">
        <f t="shared" si="0"/>
        <v>14</v>
      </c>
      <c r="S5" s="14">
        <f t="shared" si="0"/>
        <v>15</v>
      </c>
      <c r="T5" s="14">
        <f t="shared" si="0"/>
        <v>16</v>
      </c>
      <c r="U5" s="14">
        <f t="shared" si="0"/>
        <v>17</v>
      </c>
      <c r="V5" s="14">
        <f t="shared" si="0"/>
        <v>18</v>
      </c>
      <c r="W5" s="14">
        <f t="shared" si="0"/>
        <v>19</v>
      </c>
    </row>
    <row r="6" spans="2:23" x14ac:dyDescent="0.3">
      <c r="C6" s="12" t="s">
        <v>48</v>
      </c>
      <c r="D6" s="17"/>
      <c r="E6" s="19">
        <f t="shared" ref="E6:U6" si="1">E7-6</f>
        <v>45221</v>
      </c>
      <c r="F6" s="19">
        <f t="shared" si="1"/>
        <v>45228</v>
      </c>
      <c r="G6" s="19">
        <f t="shared" si="1"/>
        <v>45235</v>
      </c>
      <c r="H6" s="19">
        <f t="shared" si="1"/>
        <v>45242</v>
      </c>
      <c r="I6" s="19">
        <f t="shared" si="1"/>
        <v>45249</v>
      </c>
      <c r="J6" s="19">
        <f t="shared" si="1"/>
        <v>45256</v>
      </c>
      <c r="K6" s="19">
        <f t="shared" si="1"/>
        <v>45263</v>
      </c>
      <c r="L6" s="19">
        <f t="shared" si="1"/>
        <v>45270</v>
      </c>
      <c r="M6" s="19">
        <f t="shared" si="1"/>
        <v>45277</v>
      </c>
      <c r="N6" s="19">
        <f t="shared" si="1"/>
        <v>45284</v>
      </c>
      <c r="O6" s="19">
        <f t="shared" si="1"/>
        <v>45291</v>
      </c>
      <c r="P6" s="19">
        <f t="shared" si="1"/>
        <v>45298</v>
      </c>
      <c r="Q6" s="19">
        <f t="shared" si="1"/>
        <v>45305</v>
      </c>
      <c r="R6" s="19">
        <f t="shared" si="1"/>
        <v>45312</v>
      </c>
      <c r="S6" s="19">
        <f t="shared" si="1"/>
        <v>45319</v>
      </c>
      <c r="T6" s="19">
        <f t="shared" si="1"/>
        <v>45326</v>
      </c>
      <c r="U6" s="19">
        <f t="shared" si="1"/>
        <v>45333</v>
      </c>
      <c r="V6" s="19">
        <f>V7-6</f>
        <v>45340</v>
      </c>
      <c r="W6" s="19">
        <f>W7-6</f>
        <v>45347</v>
      </c>
    </row>
    <row r="7" spans="2:23" ht="14.5" x14ac:dyDescent="0.45">
      <c r="B7" s="85" t="s">
        <v>265</v>
      </c>
      <c r="C7" s="20" t="s">
        <v>28</v>
      </c>
      <c r="D7" s="21"/>
      <c r="E7" s="22">
        <f t="shared" ref="E7:U7" si="2">F6-1</f>
        <v>45227</v>
      </c>
      <c r="F7" s="22">
        <f t="shared" si="2"/>
        <v>45234</v>
      </c>
      <c r="G7" s="22">
        <f t="shared" si="2"/>
        <v>45241</v>
      </c>
      <c r="H7" s="22">
        <f t="shared" si="2"/>
        <v>45248</v>
      </c>
      <c r="I7" s="22">
        <f t="shared" si="2"/>
        <v>45255</v>
      </c>
      <c r="J7" s="22">
        <f t="shared" si="2"/>
        <v>45262</v>
      </c>
      <c r="K7" s="22">
        <f t="shared" si="2"/>
        <v>45269</v>
      </c>
      <c r="L7" s="22">
        <f t="shared" si="2"/>
        <v>45276</v>
      </c>
      <c r="M7" s="22">
        <f t="shared" si="2"/>
        <v>45283</v>
      </c>
      <c r="N7" s="22">
        <f t="shared" si="2"/>
        <v>45290</v>
      </c>
      <c r="O7" s="22">
        <f t="shared" si="2"/>
        <v>45297</v>
      </c>
      <c r="P7" s="22">
        <f t="shared" si="2"/>
        <v>45304</v>
      </c>
      <c r="Q7" s="22">
        <f t="shared" si="2"/>
        <v>45311</v>
      </c>
      <c r="R7" s="22">
        <f t="shared" si="2"/>
        <v>45318</v>
      </c>
      <c r="S7" s="22">
        <f t="shared" si="2"/>
        <v>45325</v>
      </c>
      <c r="T7" s="22">
        <f t="shared" si="2"/>
        <v>45332</v>
      </c>
      <c r="U7" s="22">
        <f t="shared" si="2"/>
        <v>45339</v>
      </c>
      <c r="V7" s="22">
        <f>W6-1</f>
        <v>45346</v>
      </c>
      <c r="W7" s="73">
        <f>MAX('13 weeks CF'!7:7)</f>
        <v>45353</v>
      </c>
    </row>
    <row r="9" spans="2:23" ht="14.5" x14ac:dyDescent="0.45">
      <c r="B9"/>
      <c r="C9" s="20" t="s">
        <v>268</v>
      </c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2:23" x14ac:dyDescent="0.3">
      <c r="B10" s="4" t="s">
        <v>54</v>
      </c>
      <c r="C10" t="s">
        <v>269</v>
      </c>
      <c r="E10" s="75">
        <f>INDEX('13 weeks CF'!$12:$12,MATCH(E$7,'13 weeks CF'!$7:$7,0))</f>
        <v>210210</v>
      </c>
      <c r="F10" s="75">
        <f>INDEX('13 weeks CF'!$12:$12,MATCH(F$7,'13 weeks CF'!$7:$7,0))</f>
        <v>174090</v>
      </c>
      <c r="G10" s="75">
        <f>INDEX('13 weeks CF'!$12:$12,MATCH(G$7,'13 weeks CF'!$7:$7,0))</f>
        <v>239110</v>
      </c>
      <c r="H10" s="75">
        <f>INDEX('13 weeks CF'!$12:$12,MATCH(H$7,'13 weeks CF'!$7:$7,0))</f>
        <v>43360</v>
      </c>
      <c r="I10" s="75">
        <f>INDEX('13 weeks CF'!$12:$12,MATCH(I$7,'13 weeks CF'!$7:$7,0))</f>
        <v>325260</v>
      </c>
      <c r="J10" s="75">
        <f>INDEX('13 weeks CF'!$12:$12,MATCH(J$7,'13 weeks CF'!$7:$7,0))</f>
        <v>215160</v>
      </c>
      <c r="K10" s="75">
        <f>INDEX('13 weeks CF'!$12:$12,MATCH(K$7,'13 weeks CF'!$7:$7,0))</f>
        <v>112041.66666666667</v>
      </c>
      <c r="L10" s="75">
        <f>INDEX('13 weeks CF'!$12:$12,MATCH(L$7,'13 weeks CF'!$7:$7,0))</f>
        <v>156995.27777777778</v>
      </c>
      <c r="M10" s="75">
        <f>INDEX('13 weeks CF'!$12:$12,MATCH(M$7,'13 weeks CF'!$7:$7,0))</f>
        <v>399451.15740740742</v>
      </c>
      <c r="N10" s="75">
        <f>INDEX('13 weeks CF'!$12:$12,MATCH(N$7,'13 weeks CF'!$7:$7,0))</f>
        <v>415303.01697530865</v>
      </c>
      <c r="O10" s="75">
        <f>INDEX('13 weeks CF'!$12:$12,MATCH(O$7,'13 weeks CF'!$7:$7,0))</f>
        <v>382731.85313786007</v>
      </c>
      <c r="P10" s="75">
        <f>INDEX('13 weeks CF'!$12:$12,MATCH(P$7,'13 weeks CF'!$7:$7,0))</f>
        <v>316373.82866083673</v>
      </c>
      <c r="Q10" s="75">
        <f>INDEX('13 weeks CF'!$12:$12,MATCH(Q$7,'13 weeks CF'!$7:$7,0))</f>
        <v>519442.80010430957</v>
      </c>
      <c r="R10" s="75">
        <f>INDEX('13 weeks CF'!$12:$12,MATCH(R$7,'13 weeks CF'!$7:$7,0))</f>
        <v>532142.98901058338</v>
      </c>
      <c r="S10" s="75">
        <f>INDEX('13 weeks CF'!$12:$12,MATCH(S$7,'13 weeks CF'!$7:$7,0))</f>
        <v>472334.27421605098</v>
      </c>
      <c r="T10" s="75">
        <f>INDEX('13 weeks CF'!$12:$12,MATCH(T$7,'13 weeks CF'!$7:$7,0))</f>
        <v>279031.46035082493</v>
      </c>
      <c r="U10" s="75">
        <f>INDEX('13 weeks CF'!$12:$12,MATCH(U$7,'13 weeks CF'!$7:$7,0))</f>
        <v>412252.86758007761</v>
      </c>
      <c r="V10" s="75">
        <f>INDEX('13 weeks CF'!$12:$12,MATCH(V$7,'13 weeks CF'!$7:$7,0))</f>
        <v>580273.03665378049</v>
      </c>
      <c r="W10" s="75">
        <f>INDEX('13 weeks CF'!$12:$12,MATCH(W$7,'13 weeks CF'!$7:$7,0))</f>
        <v>291189.57131927111</v>
      </c>
    </row>
    <row r="11" spans="2:23" x14ac:dyDescent="0.3">
      <c r="B11"/>
      <c r="C11" s="27" t="s">
        <v>270</v>
      </c>
      <c r="E11" s="75">
        <f>SUM($E24:E24)</f>
        <v>0</v>
      </c>
      <c r="F11" s="75">
        <f>SUM($E24:F24)</f>
        <v>0</v>
      </c>
      <c r="G11" s="75">
        <f>SUM($E24:G24)</f>
        <v>0</v>
      </c>
      <c r="H11" s="75">
        <f>SUM($E24:H24)</f>
        <v>0</v>
      </c>
      <c r="I11" s="75">
        <f>SUM($E24:I24)</f>
        <v>0</v>
      </c>
      <c r="J11" s="75">
        <f>SUM($E24:J24)</f>
        <v>0</v>
      </c>
      <c r="K11" s="75">
        <f>SUM($E24:K24)</f>
        <v>59470</v>
      </c>
      <c r="L11" s="75">
        <f>SUM($E24:L24)</f>
        <v>59470</v>
      </c>
      <c r="M11" s="75">
        <f>SUM($E24:M24)</f>
        <v>159470</v>
      </c>
      <c r="N11" s="75">
        <f>SUM($E24:N24)</f>
        <v>159470</v>
      </c>
      <c r="O11" s="75">
        <f>SUM($E24:O24)</f>
        <v>257870</v>
      </c>
      <c r="P11" s="75">
        <f>SUM($E24:P24)</f>
        <v>257870</v>
      </c>
      <c r="Q11" s="75">
        <f>SUM($E24:Q24)</f>
        <v>257870</v>
      </c>
      <c r="R11" s="75">
        <f>SUM($E24:R24)</f>
        <v>257870</v>
      </c>
      <c r="S11" s="75">
        <f>SUM($E24:S24)</f>
        <v>59870</v>
      </c>
      <c r="T11" s="75">
        <f>SUM($E24:T24)</f>
        <v>107870</v>
      </c>
      <c r="U11" s="75">
        <f>SUM($E24:U24)</f>
        <v>-142130</v>
      </c>
      <c r="V11" s="75">
        <f>SUM($E24:V24)</f>
        <v>-142130</v>
      </c>
      <c r="W11" s="75">
        <f>SUM($E24:W24)</f>
        <v>-142130</v>
      </c>
    </row>
    <row r="12" spans="2:23" x14ac:dyDescent="0.3">
      <c r="B12"/>
      <c r="C12" s="27" t="s">
        <v>271</v>
      </c>
      <c r="E12" s="75">
        <f>SUM($E28:E28)</f>
        <v>0</v>
      </c>
      <c r="F12" s="75">
        <f>SUM($E28:F28)</f>
        <v>0</v>
      </c>
      <c r="G12" s="75">
        <f>SUM($E28:G28)</f>
        <v>0</v>
      </c>
      <c r="H12" s="75">
        <f>SUM($E28:H28)</f>
        <v>0</v>
      </c>
      <c r="I12" s="75">
        <f>SUM($E28:I28)</f>
        <v>0</v>
      </c>
      <c r="J12" s="75">
        <f>SUM($E28:J28)</f>
        <v>0</v>
      </c>
      <c r="K12" s="75">
        <f>SUM($E28:K28)</f>
        <v>-88940</v>
      </c>
      <c r="L12" s="75">
        <f>SUM($E28:L28)</f>
        <v>-87140</v>
      </c>
      <c r="M12" s="75">
        <f>SUM($E28:M28)</f>
        <v>-105940</v>
      </c>
      <c r="N12" s="75">
        <f>SUM($E28:N28)</f>
        <v>-105940</v>
      </c>
      <c r="O12" s="75">
        <f>SUM($E28:O28)</f>
        <v>-105940</v>
      </c>
      <c r="P12" s="75">
        <f>SUM($E28:P28)</f>
        <v>-105940</v>
      </c>
      <c r="Q12" s="75">
        <f>SUM($E28:Q28)</f>
        <v>-155940</v>
      </c>
      <c r="R12" s="75">
        <f>SUM($E28:R28)</f>
        <v>-155940</v>
      </c>
      <c r="S12" s="75">
        <f>SUM($E28:S28)</f>
        <v>-155940</v>
      </c>
      <c r="T12" s="75">
        <f>SUM($E28:T28)</f>
        <v>-161640</v>
      </c>
      <c r="U12" s="75">
        <f>SUM($E28:U28)</f>
        <v>-261640</v>
      </c>
      <c r="V12" s="75">
        <f>SUM($E28:V28)</f>
        <v>-271640</v>
      </c>
      <c r="W12" s="75">
        <f>SUM($E28:W28)</f>
        <v>-271640</v>
      </c>
    </row>
    <row r="13" spans="2:23" x14ac:dyDescent="0.3">
      <c r="B13"/>
      <c r="C13" s="27" t="s">
        <v>272</v>
      </c>
      <c r="E13" s="75">
        <f>SUM($E32:E32)</f>
        <v>0</v>
      </c>
      <c r="F13" s="75">
        <f>SUM($E32:F32)</f>
        <v>0</v>
      </c>
      <c r="G13" s="75">
        <f>SUM($E32:G32)</f>
        <v>0</v>
      </c>
      <c r="H13" s="75">
        <f>SUM($E32:H32)</f>
        <v>0</v>
      </c>
      <c r="I13" s="75">
        <f>SUM($E32:I32)</f>
        <v>0</v>
      </c>
      <c r="J13" s="75">
        <f>SUM($E32:J32)</f>
        <v>0</v>
      </c>
      <c r="K13" s="75">
        <f>SUM($E32:K32)</f>
        <v>-210</v>
      </c>
      <c r="L13" s="75">
        <f>SUM($E32:L32)</f>
        <v>-210</v>
      </c>
      <c r="M13" s="75">
        <f>SUM($E32:M32)</f>
        <v>-210</v>
      </c>
      <c r="N13" s="75">
        <f>SUM($E32:N32)</f>
        <v>-210</v>
      </c>
      <c r="O13" s="75">
        <f>SUM($E32:O32)</f>
        <v>-98210</v>
      </c>
      <c r="P13" s="75">
        <f>SUM($E32:P32)</f>
        <v>-98210</v>
      </c>
      <c r="Q13" s="75">
        <f>SUM($E32:Q32)</f>
        <v>-98210</v>
      </c>
      <c r="R13" s="75">
        <f>SUM($E32:R32)</f>
        <v>-98210</v>
      </c>
      <c r="S13" s="75">
        <f>SUM($E32:S32)</f>
        <v>-122310</v>
      </c>
      <c r="T13" s="75">
        <f>SUM($E32:T32)</f>
        <v>-122310</v>
      </c>
      <c r="U13" s="75">
        <f>SUM($E32:U32)</f>
        <v>-122310</v>
      </c>
      <c r="V13" s="75">
        <f>SUM($E32:V32)</f>
        <v>-122310</v>
      </c>
      <c r="W13" s="75">
        <f>SUM($E32:W32)</f>
        <v>-128310</v>
      </c>
    </row>
    <row r="14" spans="2:23" x14ac:dyDescent="0.3">
      <c r="B14"/>
      <c r="C14" s="27" t="s">
        <v>273</v>
      </c>
      <c r="E14" s="75">
        <f>SUM($E36:E36)</f>
        <v>0</v>
      </c>
      <c r="F14" s="75">
        <f>SUM($E36:F36)</f>
        <v>0</v>
      </c>
      <c r="G14" s="75">
        <f>SUM($E36:G36)</f>
        <v>0</v>
      </c>
      <c r="H14" s="75">
        <f>SUM($E36:H36)</f>
        <v>0</v>
      </c>
      <c r="I14" s="75">
        <f>SUM($E36:I36)</f>
        <v>0</v>
      </c>
      <c r="J14" s="75">
        <f>SUM($E36:J36)</f>
        <v>0</v>
      </c>
      <c r="K14" s="75">
        <f>SUM($E36:K36)</f>
        <v>19210</v>
      </c>
      <c r="L14" s="75">
        <f>SUM($E36:L36)</f>
        <v>22496.666666666657</v>
      </c>
      <c r="M14" s="75">
        <f>SUM($E36:M36)</f>
        <v>26331.111111111109</v>
      </c>
      <c r="N14" s="75">
        <f>SUM($E36:N36)</f>
        <v>30804.629629629628</v>
      </c>
      <c r="O14" s="75">
        <f>SUM($E36:O36)</f>
        <v>36023.734567901243</v>
      </c>
      <c r="P14" s="75">
        <f>SUM($E36:P36)</f>
        <v>42112.690329218109</v>
      </c>
      <c r="Q14" s="75">
        <f>SUM($E36:Q36)</f>
        <v>49216.472050754455</v>
      </c>
      <c r="R14" s="75">
        <f>SUM($E36:R36)</f>
        <v>54217.550725880188</v>
      </c>
      <c r="S14" s="75">
        <f>SUM($E36:S36)</f>
        <v>59504.364735749114</v>
      </c>
      <c r="T14" s="75">
        <f>SUM($E36:T36)</f>
        <v>65033.240339855452</v>
      </c>
      <c r="U14" s="75">
        <f>SUM($E36:U36)</f>
        <v>70738.008791559754</v>
      </c>
      <c r="V14" s="75">
        <f>SUM($E36:V36)</f>
        <v>76523.721162169488</v>
      </c>
      <c r="W14" s="75">
        <f>SUM($E36:W36)</f>
        <v>82258.892967661377</v>
      </c>
    </row>
    <row r="15" spans="2:23" x14ac:dyDescent="0.3">
      <c r="B15"/>
      <c r="C15" s="27" t="s">
        <v>274</v>
      </c>
      <c r="E15" s="75">
        <f>SUM($E40:E40)</f>
        <v>0</v>
      </c>
      <c r="F15" s="75">
        <f>SUM($E40:F40)</f>
        <v>0</v>
      </c>
      <c r="G15" s="75">
        <f>SUM($E40:G40)</f>
        <v>0</v>
      </c>
      <c r="H15" s="75">
        <f>SUM($E40:H40)</f>
        <v>0</v>
      </c>
      <c r="I15" s="75">
        <f>SUM($E40:I40)</f>
        <v>0</v>
      </c>
      <c r="J15" s="75">
        <f>SUM($E40:J40)</f>
        <v>0</v>
      </c>
      <c r="K15" s="75">
        <f>SUM($E40:K40)</f>
        <v>7368.3333333333321</v>
      </c>
      <c r="L15" s="75">
        <f>SUM($E40:L40)</f>
        <v>8596.3888888888869</v>
      </c>
      <c r="M15" s="75">
        <f>SUM($E40:M40)</f>
        <v>10029.120370370363</v>
      </c>
      <c r="N15" s="75">
        <f>SUM($E40:N40)</f>
        <v>11700.640432098757</v>
      </c>
      <c r="O15" s="75">
        <f>SUM($E40:O40)</f>
        <v>13650.747170781882</v>
      </c>
      <c r="P15" s="75">
        <f>SUM($E40:P40)</f>
        <v>15925.871699245528</v>
      </c>
      <c r="Q15" s="75">
        <f>SUM($E40:Q40)</f>
        <v>18580.18364911979</v>
      </c>
      <c r="R15" s="75">
        <f>SUM($E40:R40)</f>
        <v>20448.825368417532</v>
      </c>
      <c r="S15" s="75">
        <f>SUM($E40:S40)</f>
        <v>22424.231448338978</v>
      </c>
      <c r="T15" s="75">
        <f>SUM($E40:T40)</f>
        <v>24490.083294667078</v>
      </c>
      <c r="U15" s="75">
        <f>SUM($E40:U40)</f>
        <v>26621.657105095132</v>
      </c>
      <c r="V15" s="75">
        <f>SUM($E40:V40)</f>
        <v>28783.475427480669</v>
      </c>
      <c r="W15" s="75">
        <f>SUM($E40:W40)</f>
        <v>30926.409382186524</v>
      </c>
    </row>
    <row r="16" spans="2:23" x14ac:dyDescent="0.3">
      <c r="B16"/>
      <c r="C16" s="27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</row>
    <row r="17" spans="2:23" x14ac:dyDescent="0.3">
      <c r="B17"/>
      <c r="C17" s="86" t="s">
        <v>275</v>
      </c>
      <c r="D17" s="87"/>
      <c r="E17" s="88">
        <f>SUM(E11:E16)</f>
        <v>0</v>
      </c>
      <c r="F17" s="88">
        <f t="shared" ref="F17:W17" si="3">SUM(F11:F16)</f>
        <v>0</v>
      </c>
      <c r="G17" s="88">
        <f t="shared" si="3"/>
        <v>0</v>
      </c>
      <c r="H17" s="88">
        <f t="shared" si="3"/>
        <v>0</v>
      </c>
      <c r="I17" s="88">
        <f t="shared" si="3"/>
        <v>0</v>
      </c>
      <c r="J17" s="88">
        <f t="shared" si="3"/>
        <v>0</v>
      </c>
      <c r="K17" s="88">
        <f t="shared" si="3"/>
        <v>-3101.6666666666679</v>
      </c>
      <c r="L17" s="88">
        <f t="shared" si="3"/>
        <v>3213.0555555555438</v>
      </c>
      <c r="M17" s="88">
        <f t="shared" si="3"/>
        <v>89680.231481481474</v>
      </c>
      <c r="N17" s="88">
        <f t="shared" si="3"/>
        <v>95825.270061728399</v>
      </c>
      <c r="O17" s="88">
        <f t="shared" si="3"/>
        <v>103394.48173868311</v>
      </c>
      <c r="P17" s="88">
        <f t="shared" si="3"/>
        <v>111758.56202846364</v>
      </c>
      <c r="Q17" s="88">
        <f t="shared" si="3"/>
        <v>71516.655699874245</v>
      </c>
      <c r="R17" s="88">
        <f t="shared" si="3"/>
        <v>78386.376094297724</v>
      </c>
      <c r="S17" s="88">
        <f t="shared" si="3"/>
        <v>-136451.40381591191</v>
      </c>
      <c r="T17" s="88">
        <f t="shared" si="3"/>
        <v>-86556.67636547747</v>
      </c>
      <c r="U17" s="88">
        <f t="shared" si="3"/>
        <v>-428720.33410334517</v>
      </c>
      <c r="V17" s="88">
        <f t="shared" si="3"/>
        <v>-430772.80341034988</v>
      </c>
      <c r="W17" s="88">
        <f t="shared" si="3"/>
        <v>-428894.69765015208</v>
      </c>
    </row>
    <row r="18" spans="2:23" x14ac:dyDescent="0.3">
      <c r="B18"/>
      <c r="C18" s="86" t="s">
        <v>276</v>
      </c>
      <c r="D18" s="87"/>
      <c r="E18" s="88">
        <f>SUM(E10,E17)</f>
        <v>210210</v>
      </c>
      <c r="F18" s="88">
        <f t="shared" ref="F18:W18" si="4">SUM(F10,F17)</f>
        <v>174090</v>
      </c>
      <c r="G18" s="88">
        <f t="shared" si="4"/>
        <v>239110</v>
      </c>
      <c r="H18" s="88">
        <f t="shared" si="4"/>
        <v>43360</v>
      </c>
      <c r="I18" s="88">
        <f t="shared" si="4"/>
        <v>325260</v>
      </c>
      <c r="J18" s="88">
        <f t="shared" si="4"/>
        <v>215160</v>
      </c>
      <c r="K18" s="88">
        <f t="shared" si="4"/>
        <v>108940</v>
      </c>
      <c r="L18" s="88">
        <f t="shared" si="4"/>
        <v>160208.33333333331</v>
      </c>
      <c r="M18" s="88">
        <f t="shared" si="4"/>
        <v>489131.38888888888</v>
      </c>
      <c r="N18" s="88">
        <f t="shared" si="4"/>
        <v>511128.28703703708</v>
      </c>
      <c r="O18" s="88">
        <f t="shared" si="4"/>
        <v>486126.3348765432</v>
      </c>
      <c r="P18" s="88">
        <f t="shared" si="4"/>
        <v>428132.39068930037</v>
      </c>
      <c r="Q18" s="88">
        <f t="shared" si="4"/>
        <v>590959.45580418385</v>
      </c>
      <c r="R18" s="88">
        <f t="shared" si="4"/>
        <v>610529.36510488112</v>
      </c>
      <c r="S18" s="88">
        <f t="shared" si="4"/>
        <v>335882.87040013907</v>
      </c>
      <c r="T18" s="88">
        <f t="shared" si="4"/>
        <v>192474.78398534746</v>
      </c>
      <c r="U18" s="88">
        <f t="shared" si="4"/>
        <v>-16467.466523267562</v>
      </c>
      <c r="V18" s="88">
        <f t="shared" si="4"/>
        <v>149500.23324343062</v>
      </c>
      <c r="W18" s="88">
        <f t="shared" si="4"/>
        <v>-137705.12633088097</v>
      </c>
    </row>
    <row r="19" spans="2:23" x14ac:dyDescent="0.3">
      <c r="B19"/>
      <c r="C19" t="s">
        <v>277</v>
      </c>
      <c r="E19" s="75">
        <f>INDEX('Rolling CF'!$12:$12,MATCH(E$7,'Rolling CF'!$7:$7,0))</f>
        <v>210210</v>
      </c>
      <c r="F19" s="75">
        <f>INDEX('Rolling CF'!$12:$12,MATCH(F$7,'Rolling CF'!$7:$7,0))</f>
        <v>174090</v>
      </c>
      <c r="G19" s="75">
        <f>INDEX('Rolling CF'!$12:$12,MATCH(G$7,'Rolling CF'!$7:$7,0))</f>
        <v>239110</v>
      </c>
      <c r="H19" s="75">
        <f>INDEX('Rolling CF'!$12:$12,MATCH(H$7,'Rolling CF'!$7:$7,0))</f>
        <v>43360</v>
      </c>
      <c r="I19" s="75">
        <f>INDEX('Rolling CF'!$12:$12,MATCH(I$7,'Rolling CF'!$7:$7,0))</f>
        <v>325260</v>
      </c>
      <c r="J19" s="75">
        <f>INDEX('Rolling CF'!$12:$12,MATCH(J$7,'Rolling CF'!$7:$7,0))</f>
        <v>215160</v>
      </c>
      <c r="K19" s="75">
        <f>INDEX('Rolling CF'!$12:$12,MATCH(K$7,'Rolling CF'!$7:$7,0))</f>
        <v>108940</v>
      </c>
      <c r="L19" s="75">
        <f>INDEX('Rolling CF'!$12:$12,MATCH(L$7,'Rolling CF'!$7:$7,0))</f>
        <v>160208.33333333331</v>
      </c>
      <c r="M19" s="75">
        <f>INDEX('Rolling CF'!$12:$12,MATCH(M$7,'Rolling CF'!$7:$7,0))</f>
        <v>489131.38888888888</v>
      </c>
      <c r="N19" s="75">
        <f>INDEX('Rolling CF'!$12:$12,MATCH(N$7,'Rolling CF'!$7:$7,0))</f>
        <v>511128.28703703702</v>
      </c>
      <c r="O19" s="75">
        <f>INDEX('Rolling CF'!$12:$12,MATCH(O$7,'Rolling CF'!$7:$7,0))</f>
        <v>486126.3348765432</v>
      </c>
      <c r="P19" s="75">
        <f>INDEX('Rolling CF'!$12:$12,MATCH(P$7,'Rolling CF'!$7:$7,0))</f>
        <v>428132.39068930037</v>
      </c>
      <c r="Q19" s="75">
        <f>INDEX('Rolling CF'!$12:$12,MATCH(Q$7,'Rolling CF'!$7:$7,0))</f>
        <v>590959.45580418373</v>
      </c>
      <c r="R19" s="75">
        <f>INDEX('Rolling CF'!$12:$12,MATCH(R$7,'Rolling CF'!$7:$7,0))</f>
        <v>610529.365104881</v>
      </c>
      <c r="S19" s="75">
        <f>INDEX('Rolling CF'!$12:$12,MATCH(S$7,'Rolling CF'!$7:$7,0))</f>
        <v>335882.87040013896</v>
      </c>
      <c r="T19" s="75">
        <f>INDEX('Rolling CF'!$12:$12,MATCH(T$7,'Rolling CF'!$7:$7,0))</f>
        <v>192474.78398534728</v>
      </c>
      <c r="U19" s="75">
        <f>INDEX('Rolling CF'!$12:$12,MATCH(U$7,'Rolling CF'!$7:$7,0))</f>
        <v>-16467.466523267649</v>
      </c>
      <c r="V19" s="75">
        <f>INDEX('Rolling CF'!$12:$12,MATCH(V$7,'Rolling CF'!$7:$7,0))</f>
        <v>149500.23324343059</v>
      </c>
      <c r="W19" s="75">
        <f>INDEX('Rolling CF'!$12:$12,MATCH(W$7,'Rolling CF'!$7:$7,0))</f>
        <v>-137705.12633088112</v>
      </c>
    </row>
    <row r="20" spans="2:23" x14ac:dyDescent="0.3">
      <c r="B20"/>
      <c r="C20" s="27" t="s">
        <v>278</v>
      </c>
      <c r="E20" s="35">
        <f>ROUND(E18-E19,2)</f>
        <v>0</v>
      </c>
      <c r="F20" s="35">
        <f t="shared" ref="F20:W20" si="5">ROUND(F18-F19,2)</f>
        <v>0</v>
      </c>
      <c r="G20" s="35">
        <f t="shared" si="5"/>
        <v>0</v>
      </c>
      <c r="H20" s="35">
        <f t="shared" si="5"/>
        <v>0</v>
      </c>
      <c r="I20" s="35">
        <f t="shared" si="5"/>
        <v>0</v>
      </c>
      <c r="J20" s="35">
        <f t="shared" si="5"/>
        <v>0</v>
      </c>
      <c r="K20" s="35">
        <f t="shared" si="5"/>
        <v>0</v>
      </c>
      <c r="L20" s="35">
        <f t="shared" si="5"/>
        <v>0</v>
      </c>
      <c r="M20" s="35">
        <f t="shared" si="5"/>
        <v>0</v>
      </c>
      <c r="N20" s="35">
        <f t="shared" si="5"/>
        <v>0</v>
      </c>
      <c r="O20" s="35">
        <f t="shared" si="5"/>
        <v>0</v>
      </c>
      <c r="P20" s="35">
        <f t="shared" si="5"/>
        <v>0</v>
      </c>
      <c r="Q20" s="35">
        <f t="shared" si="5"/>
        <v>0</v>
      </c>
      <c r="R20" s="35">
        <f t="shared" si="5"/>
        <v>0</v>
      </c>
      <c r="S20" s="35">
        <f t="shared" si="5"/>
        <v>0</v>
      </c>
      <c r="T20" s="35">
        <f t="shared" si="5"/>
        <v>0</v>
      </c>
      <c r="U20" s="35">
        <f t="shared" si="5"/>
        <v>0</v>
      </c>
      <c r="V20" s="35">
        <f t="shared" si="5"/>
        <v>0</v>
      </c>
      <c r="W20" s="35">
        <f t="shared" si="5"/>
        <v>0</v>
      </c>
    </row>
    <row r="21" spans="2:23" x14ac:dyDescent="0.3">
      <c r="B21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</row>
    <row r="22" spans="2:23" x14ac:dyDescent="0.3">
      <c r="B22" s="4" t="s">
        <v>59</v>
      </c>
      <c r="C22" s="27" t="str">
        <f>"Last Week's "&amp;B22</f>
        <v>Last Week's Invoiced AR + New Revenue</v>
      </c>
      <c r="E22" s="75" cm="1">
        <f t="array" ref="E22">SUMPRODUCT('13 weeks CF'!$E$10:$X$59*('13 weeks CF'!$E$7:$X$7=E$7)*('13 weeks CF'!$B$10:$B$59=$B22))</f>
        <v>0</v>
      </c>
      <c r="F22" s="75" cm="1">
        <f t="array" ref="F22">SUMPRODUCT('13 weeks CF'!$E$10:$X$59*('13 weeks CF'!$E$7:$X$7=F$7)*('13 weeks CF'!$B$10:$B$59=$B22))</f>
        <v>372100</v>
      </c>
      <c r="G22" s="75" cm="1">
        <f t="array" ref="G22">SUMPRODUCT('13 weeks CF'!$E$10:$X$59*('13 weeks CF'!$E$7:$X$7=G$7)*('13 weeks CF'!$B$10:$B$59=$B22))</f>
        <v>210150</v>
      </c>
      <c r="H22" s="75" cm="1">
        <f t="array" ref="H22">SUMPRODUCT('13 weeks CF'!$E$10:$X$59*('13 weeks CF'!$E$7:$X$7=H$7)*('13 weeks CF'!$B$10:$B$59=$B22))</f>
        <v>0</v>
      </c>
      <c r="I22" s="75" cm="1">
        <f t="array" ref="I22">SUMPRODUCT('13 weeks CF'!$E$10:$X$59*('13 weeks CF'!$E$7:$X$7=I$7)*('13 weeks CF'!$B$10:$B$59=$B22))</f>
        <v>361430</v>
      </c>
      <c r="J22" s="75" cm="1">
        <f t="array" ref="J22">SUMPRODUCT('13 weeks CF'!$E$10:$X$59*('13 weeks CF'!$E$7:$X$7=J$7)*('13 weeks CF'!$B$10:$B$59=$B22))</f>
        <v>68440</v>
      </c>
      <c r="K22" s="75" cm="1">
        <f t="array" ref="K22">SUMPRODUCT('13 weeks CF'!$E$10:$X$59*('13 weeks CF'!$E$7:$X$7=K$7)*('13 weeks CF'!$B$10:$B$59=$B22))</f>
        <v>330000</v>
      </c>
      <c r="L22" s="75" cm="1">
        <f t="array" ref="L22">SUMPRODUCT('13 weeks CF'!$E$10:$X$59*('13 weeks CF'!$E$7:$X$7=L$7)*('13 weeks CF'!$B$10:$B$59=$B22))</f>
        <v>120000</v>
      </c>
      <c r="M22" s="75" cm="1">
        <f t="array" ref="M22">SUMPRODUCT('13 weeks CF'!$E$10:$X$59*('13 weeks CF'!$E$7:$X$7=M$7)*('13 weeks CF'!$B$10:$B$59=$B22))</f>
        <v>454000</v>
      </c>
      <c r="N22" s="75" cm="1">
        <f t="array" ref="N22">SUMPRODUCT('13 weeks CF'!$E$10:$X$59*('13 weeks CF'!$E$7:$X$7=N$7)*('13 weeks CF'!$B$10:$B$59=$B22))</f>
        <v>80000</v>
      </c>
      <c r="O22" s="75" cm="1">
        <f t="array" ref="O22">SUMPRODUCT('13 weeks CF'!$E$10:$X$59*('13 weeks CF'!$E$7:$X$7=O$7)*('13 weeks CF'!$B$10:$B$59=$B22))</f>
        <v>100000</v>
      </c>
      <c r="P22" s="75" cm="1">
        <f t="array" ref="P22">SUMPRODUCT('13 weeks CF'!$E$10:$X$59*('13 weeks CF'!$E$7:$X$7=P$7)*('13 weeks CF'!$B$10:$B$59=$B22))</f>
        <v>0</v>
      </c>
      <c r="Q22" s="75" cm="1">
        <f t="array" ref="Q22">SUMPRODUCT('13 weeks CF'!$E$10:$X$59*('13 weeks CF'!$E$7:$X$7=Q$7)*('13 weeks CF'!$B$10:$B$59=$B22))</f>
        <v>271800</v>
      </c>
      <c r="R22" s="75" cm="1">
        <f t="array" ref="R22">SUMPRODUCT('13 weeks CF'!$E$10:$X$59*('13 weeks CF'!$E$7:$X$7=R$7)*('13 weeks CF'!$B$10:$B$59=$B22))</f>
        <v>80000</v>
      </c>
      <c r="S22" s="75" cm="1">
        <f t="array" ref="S22">SUMPRODUCT('13 weeks CF'!$E$10:$X$59*('13 weeks CF'!$E$7:$X$7=S$7)*('13 weeks CF'!$B$10:$B$59=$B22))</f>
        <v>198000</v>
      </c>
      <c r="T22" s="75" cm="1">
        <f t="array" ref="T22">SUMPRODUCT('13 weeks CF'!$E$10:$X$59*('13 weeks CF'!$E$7:$X$7=T$7)*('13 weeks CF'!$B$10:$B$59=$B22))</f>
        <v>0</v>
      </c>
      <c r="U22" s="75" cm="1">
        <f t="array" ref="U22">SUMPRODUCT('13 weeks CF'!$E$10:$X$59*('13 weeks CF'!$E$7:$X$7=U$7)*('13 weeks CF'!$B$10:$B$59=$B22))</f>
        <v>250000</v>
      </c>
      <c r="V22" s="75" cm="1">
        <f t="array" ref="V22">SUMPRODUCT('13 weeks CF'!$E$10:$X$59*('13 weeks CF'!$E$7:$X$7=V$7)*('13 weeks CF'!$B$10:$B$59=$B22))</f>
        <v>325000</v>
      </c>
      <c r="W22" s="75" cm="1">
        <f t="array" ref="W22">SUMPRODUCT('13 weeks CF'!$E$10:$X$59*('13 weeks CF'!$E$7:$X$7=W$7)*('13 weeks CF'!$B$10:$B$59=$B22))</f>
        <v>0</v>
      </c>
    </row>
    <row r="23" spans="2:23" x14ac:dyDescent="0.3">
      <c r="B23" s="4" t="s">
        <v>59</v>
      </c>
      <c r="C23" s="27" t="str">
        <f>"This Week's "&amp;B23</f>
        <v>This Week's Invoiced AR + New Revenue</v>
      </c>
      <c r="E23" s="75" cm="1">
        <f t="array" ref="E23">SUMPRODUCT('Rolling CF'!$E$10:$Y$59*('Rolling CF'!$E$7:$Y$7=E$7)*('Rolling CF'!$B$10:$B$59=$B23))</f>
        <v>0</v>
      </c>
      <c r="F23" s="75" cm="1">
        <f t="array" ref="F23">SUMPRODUCT('Rolling CF'!$E$10:$Y$59*('Rolling CF'!$E$7:$Y$7=F$7)*('Rolling CF'!$B$10:$B$59=$B23))</f>
        <v>372100</v>
      </c>
      <c r="G23" s="75" cm="1">
        <f t="array" ref="G23">SUMPRODUCT('Rolling CF'!$E$10:$Y$59*('Rolling CF'!$E$7:$Y$7=G$7)*('Rolling CF'!$B$10:$B$59=$B23))</f>
        <v>210150</v>
      </c>
      <c r="H23" s="75" cm="1">
        <f t="array" ref="H23">SUMPRODUCT('Rolling CF'!$E$10:$Y$59*('Rolling CF'!$E$7:$Y$7=H$7)*('Rolling CF'!$B$10:$B$59=$B23))</f>
        <v>0</v>
      </c>
      <c r="I23" s="75" cm="1">
        <f t="array" ref="I23">SUMPRODUCT('Rolling CF'!$E$10:$Y$59*('Rolling CF'!$E$7:$Y$7=I$7)*('Rolling CF'!$B$10:$B$59=$B23))</f>
        <v>361430</v>
      </c>
      <c r="J23" s="75" cm="1">
        <f t="array" ref="J23">SUMPRODUCT('Rolling CF'!$E$10:$Y$59*('Rolling CF'!$E$7:$Y$7=J$7)*('Rolling CF'!$B$10:$B$59=$B23))</f>
        <v>68440</v>
      </c>
      <c r="K23" s="75" cm="1">
        <f t="array" ref="K23">SUMPRODUCT('Rolling CF'!$E$10:$Y$59*('Rolling CF'!$E$7:$Y$7=K$7)*('Rolling CF'!$B$10:$B$59=$B23))</f>
        <v>389470</v>
      </c>
      <c r="L23" s="75" cm="1">
        <f t="array" ref="L23">SUMPRODUCT('Rolling CF'!$E$10:$Y$59*('Rolling CF'!$E$7:$Y$7=L$7)*('Rolling CF'!$B$10:$B$59=$B23))</f>
        <v>120000</v>
      </c>
      <c r="M23" s="75" cm="1">
        <f t="array" ref="M23">SUMPRODUCT('Rolling CF'!$E$10:$Y$59*('Rolling CF'!$E$7:$Y$7=M$7)*('Rolling CF'!$B$10:$B$59=$B23))</f>
        <v>554000</v>
      </c>
      <c r="N23" s="75" cm="1">
        <f t="array" ref="N23">SUMPRODUCT('Rolling CF'!$E$10:$Y$59*('Rolling CF'!$E$7:$Y$7=N$7)*('Rolling CF'!$B$10:$B$59=$B23))</f>
        <v>80000</v>
      </c>
      <c r="O23" s="75" cm="1">
        <f t="array" ref="O23">SUMPRODUCT('Rolling CF'!$E$10:$Y$59*('Rolling CF'!$E$7:$Y$7=O$7)*('Rolling CF'!$B$10:$B$59=$B23))</f>
        <v>198400</v>
      </c>
      <c r="P23" s="75" cm="1">
        <f t="array" ref="P23">SUMPRODUCT('Rolling CF'!$E$10:$Y$59*('Rolling CF'!$E$7:$Y$7=P$7)*('Rolling CF'!$B$10:$B$59=$B23))</f>
        <v>0</v>
      </c>
      <c r="Q23" s="75" cm="1">
        <f t="array" ref="Q23">SUMPRODUCT('Rolling CF'!$E$10:$Y$59*('Rolling CF'!$E$7:$Y$7=Q$7)*('Rolling CF'!$B$10:$B$59=$B23))</f>
        <v>271800</v>
      </c>
      <c r="R23" s="75" cm="1">
        <f t="array" ref="R23">SUMPRODUCT('Rolling CF'!$E$10:$Y$59*('Rolling CF'!$E$7:$Y$7=R$7)*('Rolling CF'!$B$10:$B$59=$B23))</f>
        <v>80000</v>
      </c>
      <c r="S23" s="75" cm="1">
        <f t="array" ref="S23">SUMPRODUCT('Rolling CF'!$E$10:$Y$59*('Rolling CF'!$E$7:$Y$7=S$7)*('Rolling CF'!$B$10:$B$59=$B23))</f>
        <v>0</v>
      </c>
      <c r="T23" s="75" cm="1">
        <f t="array" ref="T23">SUMPRODUCT('Rolling CF'!$E$10:$Y$59*('Rolling CF'!$E$7:$Y$7=T$7)*('Rolling CF'!$B$10:$B$59=$B23))</f>
        <v>48000</v>
      </c>
      <c r="U23" s="75" cm="1">
        <f t="array" ref="U23">SUMPRODUCT('Rolling CF'!$E$10:$Y$59*('Rolling CF'!$E$7:$Y$7=U$7)*('Rolling CF'!$B$10:$B$59=$B23))</f>
        <v>0</v>
      </c>
      <c r="V23" s="75" cm="1">
        <f t="array" ref="V23">SUMPRODUCT('Rolling CF'!$E$10:$Y$59*('Rolling CF'!$E$7:$Y$7=V$7)*('Rolling CF'!$B$10:$B$59=$B23))</f>
        <v>325000</v>
      </c>
      <c r="W23" s="75" cm="1">
        <f t="array" ref="W23">SUMPRODUCT('Rolling CF'!$E$10:$Y$59*('Rolling CF'!$E$7:$Y$7=W$7)*('Rolling CF'!$B$10:$B$59=$B23))</f>
        <v>0</v>
      </c>
    </row>
    <row r="24" spans="2:23" x14ac:dyDescent="0.3">
      <c r="B24" s="4" t="s">
        <v>59</v>
      </c>
      <c r="C24" s="47" t="str">
        <f>"Difference in "&amp;B24</f>
        <v>Difference in Invoiced AR + New Revenue</v>
      </c>
      <c r="D24" s="89"/>
      <c r="E24" s="90">
        <f>E23-E22</f>
        <v>0</v>
      </c>
      <c r="F24" s="90">
        <f t="shared" ref="F24:W24" si="6">F23-F22</f>
        <v>0</v>
      </c>
      <c r="G24" s="90">
        <f t="shared" si="6"/>
        <v>0</v>
      </c>
      <c r="H24" s="90">
        <f t="shared" si="6"/>
        <v>0</v>
      </c>
      <c r="I24" s="90">
        <f t="shared" si="6"/>
        <v>0</v>
      </c>
      <c r="J24" s="90">
        <f t="shared" si="6"/>
        <v>0</v>
      </c>
      <c r="K24" s="90">
        <f t="shared" si="6"/>
        <v>59470</v>
      </c>
      <c r="L24" s="90">
        <f t="shared" si="6"/>
        <v>0</v>
      </c>
      <c r="M24" s="90">
        <f t="shared" si="6"/>
        <v>100000</v>
      </c>
      <c r="N24" s="90">
        <f t="shared" si="6"/>
        <v>0</v>
      </c>
      <c r="O24" s="90">
        <f t="shared" si="6"/>
        <v>98400</v>
      </c>
      <c r="P24" s="90">
        <f t="shared" si="6"/>
        <v>0</v>
      </c>
      <c r="Q24" s="90">
        <f t="shared" si="6"/>
        <v>0</v>
      </c>
      <c r="R24" s="90">
        <f t="shared" si="6"/>
        <v>0</v>
      </c>
      <c r="S24" s="90">
        <f t="shared" si="6"/>
        <v>-198000</v>
      </c>
      <c r="T24" s="90">
        <f t="shared" si="6"/>
        <v>48000</v>
      </c>
      <c r="U24" s="90">
        <f t="shared" si="6"/>
        <v>-250000</v>
      </c>
      <c r="V24" s="90">
        <f t="shared" si="6"/>
        <v>0</v>
      </c>
      <c r="W24" s="90">
        <f t="shared" si="6"/>
        <v>0</v>
      </c>
    </row>
    <row r="25" spans="2:23" x14ac:dyDescent="0.3"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</row>
    <row r="26" spans="2:23" x14ac:dyDescent="0.3">
      <c r="B26" s="4" t="s">
        <v>64</v>
      </c>
      <c r="C26" s="27" t="str">
        <f>"Last Week's "&amp;B26</f>
        <v>Last Week's Accounts Payable</v>
      </c>
      <c r="E26" s="75" cm="1">
        <f t="array" ref="E26">SUMPRODUCT('13 weeks CF'!$E$10:$X$59*('13 weeks CF'!$E$7:$X$7=E$7)*('13 weeks CF'!$B$10:$B$59=$B26))</f>
        <v>-33620</v>
      </c>
      <c r="F26" s="75" cm="1">
        <f t="array" ref="F26">SUMPRODUCT('13 weeks CF'!$E$10:$X$59*('13 weeks CF'!$E$7:$X$7=F$7)*('13 weeks CF'!$B$10:$B$59=$B26))</f>
        <v>-83210</v>
      </c>
      <c r="G26" s="75" cm="1">
        <f t="array" ref="G26">SUMPRODUCT('13 weeks CF'!$E$10:$X$59*('13 weeks CF'!$E$7:$X$7=G$7)*('13 weeks CF'!$B$10:$B$59=$B26))</f>
        <v>-69810</v>
      </c>
      <c r="H26" s="75" cm="1">
        <f t="array" ref="H26">SUMPRODUCT('13 weeks CF'!$E$10:$X$59*('13 weeks CF'!$E$7:$X$7=H$7)*('13 weeks CF'!$B$10:$B$59=$B26))</f>
        <v>-40140</v>
      </c>
      <c r="I26" s="75" cm="1">
        <f t="array" ref="I26">SUMPRODUCT('13 weeks CF'!$E$10:$X$59*('13 weeks CF'!$E$7:$X$7=I$7)*('13 weeks CF'!$B$10:$B$59=$B26))</f>
        <v>-18680</v>
      </c>
      <c r="J26" s="75" cm="1">
        <f t="array" ref="J26">SUMPRODUCT('13 weeks CF'!$E$10:$X$59*('13 weeks CF'!$E$7:$X$7=J$7)*('13 weeks CF'!$B$10:$B$59=$B26))</f>
        <v>-88580</v>
      </c>
      <c r="K26" s="75" cm="1">
        <f t="array" ref="K26">SUMPRODUCT('13 weeks CF'!$E$10:$X$59*('13 weeks CF'!$E$7:$X$7=K$7)*('13 weeks CF'!$B$10:$B$59=$B26))</f>
        <v>-800</v>
      </c>
      <c r="L26" s="75" cm="1">
        <f t="array" ref="L26">SUMPRODUCT('13 weeks CF'!$E$10:$X$59*('13 weeks CF'!$E$7:$X$7=L$7)*('13 weeks CF'!$B$10:$B$59=$B26))</f>
        <v>-1800</v>
      </c>
      <c r="M26" s="75" cm="1">
        <f t="array" ref="M26">SUMPRODUCT('13 weeks CF'!$E$10:$X$59*('13 weeks CF'!$E$7:$X$7=M$7)*('13 weeks CF'!$B$10:$B$59=$B26))</f>
        <v>-145800</v>
      </c>
      <c r="N26" s="75" cm="1">
        <f t="array" ref="N26">SUMPRODUCT('13 weeks CF'!$E$10:$X$59*('13 weeks CF'!$E$7:$X$7=N$7)*('13 weeks CF'!$B$10:$B$59=$B26))</f>
        <v>0</v>
      </c>
      <c r="O26" s="75" cm="1">
        <f t="array" ref="O26">SUMPRODUCT('13 weeks CF'!$E$10:$X$59*('13 weeks CF'!$E$7:$X$7=O$7)*('13 weeks CF'!$B$10:$B$59=$B26))</f>
        <v>0</v>
      </c>
      <c r="P26" s="75" cm="1">
        <f t="array" ref="P26">SUMPRODUCT('13 weeks CF'!$E$10:$X$59*('13 weeks CF'!$E$7:$X$7=P$7)*('13 weeks CF'!$B$10:$B$59=$B26))</f>
        <v>0</v>
      </c>
      <c r="Q26" s="75" cm="1">
        <f t="array" ref="Q26">SUMPRODUCT('13 weeks CF'!$E$10:$X$59*('13 weeks CF'!$E$7:$X$7=Q$7)*('13 weeks CF'!$B$10:$B$59=$B26))</f>
        <v>0</v>
      </c>
      <c r="R26" s="75" cm="1">
        <f t="array" ref="R26">SUMPRODUCT('13 weeks CF'!$E$10:$X$59*('13 weeks CF'!$E$7:$X$7=R$7)*('13 weeks CF'!$B$10:$B$59=$B26))</f>
        <v>0</v>
      </c>
      <c r="S26" s="75" cm="1">
        <f t="array" ref="S26">SUMPRODUCT('13 weeks CF'!$E$10:$X$59*('13 weeks CF'!$E$7:$X$7=S$7)*('13 weeks CF'!$B$10:$B$59=$B26))</f>
        <v>0</v>
      </c>
      <c r="T26" s="75" cm="1">
        <f t="array" ref="T26">SUMPRODUCT('13 weeks CF'!$E$10:$X$59*('13 weeks CF'!$E$7:$X$7=T$7)*('13 weeks CF'!$B$10:$B$59=$B26))</f>
        <v>-126900</v>
      </c>
      <c r="U26" s="75" cm="1">
        <f t="array" ref="U26">SUMPRODUCT('13 weeks CF'!$E$10:$X$59*('13 weeks CF'!$E$7:$X$7=U$7)*('13 weeks CF'!$B$10:$B$59=$B26))</f>
        <v>-50000</v>
      </c>
      <c r="V26" s="75" cm="1">
        <f t="array" ref="V26">SUMPRODUCT('13 weeks CF'!$E$10:$X$59*('13 weeks CF'!$E$7:$X$7=V$7)*('13 weeks CF'!$B$10:$B$59=$B26))</f>
        <v>-90000</v>
      </c>
      <c r="W26" s="75" cm="1">
        <f t="array" ref="W26">SUMPRODUCT('13 weeks CF'!$E$10:$X$59*('13 weeks CF'!$E$7:$X$7=W$7)*('13 weeks CF'!$B$10:$B$59=$B26))</f>
        <v>0</v>
      </c>
    </row>
    <row r="27" spans="2:23" x14ac:dyDescent="0.3">
      <c r="B27" s="4" t="s">
        <v>64</v>
      </c>
      <c r="C27" s="27" t="str">
        <f>"This Week's "&amp;B27</f>
        <v>This Week's Accounts Payable</v>
      </c>
      <c r="E27" s="75" cm="1">
        <f t="array" ref="E27">SUMPRODUCT('Rolling CF'!$E$10:$Y$59*('Rolling CF'!$E$7:$Y$7=E$7)*('Rolling CF'!$B$10:$B$59=$B27))</f>
        <v>-33620</v>
      </c>
      <c r="F27" s="75" cm="1">
        <f t="array" ref="F27">SUMPRODUCT('Rolling CF'!$E$10:$Y$59*('Rolling CF'!$E$7:$Y$7=F$7)*('Rolling CF'!$B$10:$B$59=$B27))</f>
        <v>-83210</v>
      </c>
      <c r="G27" s="75" cm="1">
        <f t="array" ref="G27">SUMPRODUCT('Rolling CF'!$E$10:$Y$59*('Rolling CF'!$E$7:$Y$7=G$7)*('Rolling CF'!$B$10:$B$59=$B27))</f>
        <v>-69810</v>
      </c>
      <c r="H27" s="75" cm="1">
        <f t="array" ref="H27">SUMPRODUCT('Rolling CF'!$E$10:$Y$59*('Rolling CF'!$E$7:$Y$7=H$7)*('Rolling CF'!$B$10:$B$59=$B27))</f>
        <v>-40140</v>
      </c>
      <c r="I27" s="75" cm="1">
        <f t="array" ref="I27">SUMPRODUCT('Rolling CF'!$E$10:$Y$59*('Rolling CF'!$E$7:$Y$7=I$7)*('Rolling CF'!$B$10:$B$59=$B27))</f>
        <v>-18680</v>
      </c>
      <c r="J27" s="75" cm="1">
        <f t="array" ref="J27">SUMPRODUCT('Rolling CF'!$E$10:$Y$59*('Rolling CF'!$E$7:$Y$7=J$7)*('Rolling CF'!$B$10:$B$59=$B27))</f>
        <v>-88580</v>
      </c>
      <c r="K27" s="75" cm="1">
        <f t="array" ref="K27">SUMPRODUCT('Rolling CF'!$E$10:$Y$59*('Rolling CF'!$E$7:$Y$7=K$7)*('Rolling CF'!$B$10:$B$59=$B27))</f>
        <v>-89740</v>
      </c>
      <c r="L27" s="75" cm="1">
        <f t="array" ref="L27">SUMPRODUCT('Rolling CF'!$E$10:$Y$59*('Rolling CF'!$E$7:$Y$7=L$7)*('Rolling CF'!$B$10:$B$59=$B27))</f>
        <v>0</v>
      </c>
      <c r="M27" s="75" cm="1">
        <f t="array" ref="M27">SUMPRODUCT('Rolling CF'!$E$10:$Y$59*('Rolling CF'!$E$7:$Y$7=M$7)*('Rolling CF'!$B$10:$B$59=$B27))</f>
        <v>-164600</v>
      </c>
      <c r="N27" s="75" cm="1">
        <f t="array" ref="N27">SUMPRODUCT('Rolling CF'!$E$10:$Y$59*('Rolling CF'!$E$7:$Y$7=N$7)*('Rolling CF'!$B$10:$B$59=$B27))</f>
        <v>0</v>
      </c>
      <c r="O27" s="75" cm="1">
        <f t="array" ref="O27">SUMPRODUCT('Rolling CF'!$E$10:$Y$59*('Rolling CF'!$E$7:$Y$7=O$7)*('Rolling CF'!$B$10:$B$59=$B27))</f>
        <v>0</v>
      </c>
      <c r="P27" s="75" cm="1">
        <f t="array" ref="P27">SUMPRODUCT('Rolling CF'!$E$10:$Y$59*('Rolling CF'!$E$7:$Y$7=P$7)*('Rolling CF'!$B$10:$B$59=$B27))</f>
        <v>0</v>
      </c>
      <c r="Q27" s="75" cm="1">
        <f t="array" ref="Q27">SUMPRODUCT('Rolling CF'!$E$10:$Y$59*('Rolling CF'!$E$7:$Y$7=Q$7)*('Rolling CF'!$B$10:$B$59=$B27))</f>
        <v>-50000</v>
      </c>
      <c r="R27" s="75" cm="1">
        <f t="array" ref="R27">SUMPRODUCT('Rolling CF'!$E$10:$Y$59*('Rolling CF'!$E$7:$Y$7=R$7)*('Rolling CF'!$B$10:$B$59=$B27))</f>
        <v>0</v>
      </c>
      <c r="S27" s="75" cm="1">
        <f t="array" ref="S27">SUMPRODUCT('Rolling CF'!$E$10:$Y$59*('Rolling CF'!$E$7:$Y$7=S$7)*('Rolling CF'!$B$10:$B$59=$B27))</f>
        <v>0</v>
      </c>
      <c r="T27" s="75" cm="1">
        <f t="array" ref="T27">SUMPRODUCT('Rolling CF'!$E$10:$Y$59*('Rolling CF'!$E$7:$Y$7=T$7)*('Rolling CF'!$B$10:$B$59=$B27))</f>
        <v>-132600</v>
      </c>
      <c r="U27" s="75" cm="1">
        <f t="array" ref="U27">SUMPRODUCT('Rolling CF'!$E$10:$Y$59*('Rolling CF'!$E$7:$Y$7=U$7)*('Rolling CF'!$B$10:$B$59=$B27))</f>
        <v>-150000</v>
      </c>
      <c r="V27" s="75" cm="1">
        <f t="array" ref="V27">SUMPRODUCT('Rolling CF'!$E$10:$Y$59*('Rolling CF'!$E$7:$Y$7=V$7)*('Rolling CF'!$B$10:$B$59=$B27))</f>
        <v>-100000</v>
      </c>
      <c r="W27" s="75" cm="1">
        <f t="array" ref="W27">SUMPRODUCT('Rolling CF'!$E$10:$Y$59*('Rolling CF'!$E$7:$Y$7=W$7)*('Rolling CF'!$B$10:$B$59=$B27))</f>
        <v>0</v>
      </c>
    </row>
    <row r="28" spans="2:23" x14ac:dyDescent="0.3">
      <c r="B28" s="4" t="s">
        <v>64</v>
      </c>
      <c r="C28" s="47" t="str">
        <f>"Difference in "&amp;B28</f>
        <v>Difference in Accounts Payable</v>
      </c>
      <c r="D28" s="89"/>
      <c r="E28" s="90">
        <f>E27-E26</f>
        <v>0</v>
      </c>
      <c r="F28" s="90">
        <f t="shared" ref="F28" si="7">F27-F26</f>
        <v>0</v>
      </c>
      <c r="G28" s="90">
        <f t="shared" ref="G28" si="8">G27-G26</f>
        <v>0</v>
      </c>
      <c r="H28" s="90">
        <f t="shared" ref="H28" si="9">H27-H26</f>
        <v>0</v>
      </c>
      <c r="I28" s="90">
        <f t="shared" ref="I28" si="10">I27-I26</f>
        <v>0</v>
      </c>
      <c r="J28" s="90">
        <f t="shared" ref="J28" si="11">J27-J26</f>
        <v>0</v>
      </c>
      <c r="K28" s="90">
        <f t="shared" ref="K28" si="12">K27-K26</f>
        <v>-88940</v>
      </c>
      <c r="L28" s="90">
        <f t="shared" ref="L28" si="13">L27-L26</f>
        <v>1800</v>
      </c>
      <c r="M28" s="90">
        <f t="shared" ref="M28" si="14">M27-M26</f>
        <v>-18800</v>
      </c>
      <c r="N28" s="90">
        <f t="shared" ref="N28" si="15">N27-N26</f>
        <v>0</v>
      </c>
      <c r="O28" s="90">
        <f t="shared" ref="O28" si="16">O27-O26</f>
        <v>0</v>
      </c>
      <c r="P28" s="90">
        <f t="shared" ref="P28" si="17">P27-P26</f>
        <v>0</v>
      </c>
      <c r="Q28" s="90">
        <f t="shared" ref="Q28" si="18">Q27-Q26</f>
        <v>-50000</v>
      </c>
      <c r="R28" s="90">
        <f t="shared" ref="R28" si="19">R27-R26</f>
        <v>0</v>
      </c>
      <c r="S28" s="90">
        <f t="shared" ref="S28" si="20">S27-S26</f>
        <v>0</v>
      </c>
      <c r="T28" s="90">
        <f t="shared" ref="T28" si="21">T27-T26</f>
        <v>-5700</v>
      </c>
      <c r="U28" s="90">
        <f t="shared" ref="U28" si="22">U27-U26</f>
        <v>-100000</v>
      </c>
      <c r="V28" s="90">
        <f t="shared" ref="V28" si="23">V27-V26</f>
        <v>-10000</v>
      </c>
      <c r="W28" s="90">
        <f t="shared" ref="W28" si="24">W27-W26</f>
        <v>0</v>
      </c>
    </row>
    <row r="29" spans="2:23" x14ac:dyDescent="0.3"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</row>
    <row r="30" spans="2:23" x14ac:dyDescent="0.3">
      <c r="B30" s="4" t="s">
        <v>65</v>
      </c>
      <c r="C30" s="27" t="str">
        <f>"Last Week's "&amp;B30</f>
        <v>Last Week's Credit Cards</v>
      </c>
      <c r="E30" s="75" cm="1">
        <f t="array" ref="E30">SUMPRODUCT('13 weeks CF'!$E$10:$X$59*('13 weeks CF'!$E$7:$X$7=E$7)*('13 weeks CF'!$B$10:$B$59=$B30))</f>
        <v>0</v>
      </c>
      <c r="F30" s="75" cm="1">
        <f t="array" ref="F30">SUMPRODUCT('13 weeks CF'!$E$10:$X$59*('13 weeks CF'!$E$7:$X$7=F$7)*('13 weeks CF'!$B$10:$B$59=$B30))</f>
        <v>-194090</v>
      </c>
      <c r="G30" s="75" cm="1">
        <f t="array" ref="G30">SUMPRODUCT('13 weeks CF'!$E$10:$X$59*('13 weeks CF'!$E$7:$X$7=G$7)*('13 weeks CF'!$B$10:$B$59=$B30))</f>
        <v>0</v>
      </c>
      <c r="H30" s="75" cm="1">
        <f t="array" ref="H30">SUMPRODUCT('13 weeks CF'!$E$10:$X$59*('13 weeks CF'!$E$7:$X$7=H$7)*('13 weeks CF'!$B$10:$B$59=$B30))</f>
        <v>-100000</v>
      </c>
      <c r="I30" s="75" cm="1">
        <f t="array" ref="I30">SUMPRODUCT('13 weeks CF'!$E$10:$X$59*('13 weeks CF'!$E$7:$X$7=I$7)*('13 weeks CF'!$B$10:$B$59=$B30))</f>
        <v>0</v>
      </c>
      <c r="J30" s="75" cm="1">
        <f t="array" ref="J30">SUMPRODUCT('13 weeks CF'!$E$10:$X$59*('13 weeks CF'!$E$7:$X$7=J$7)*('13 weeks CF'!$B$10:$B$59=$B30))</f>
        <v>-32000</v>
      </c>
      <c r="K30" s="75" cm="1">
        <f t="array" ref="K30">SUMPRODUCT('13 weeks CF'!$E$10:$X$59*('13 weeks CF'!$E$7:$X$7=K$7)*('13 weeks CF'!$B$10:$B$59=$B30))</f>
        <v>-350000</v>
      </c>
      <c r="L30" s="75" cm="1">
        <f t="array" ref="L30">SUMPRODUCT('13 weeks CF'!$E$10:$X$59*('13 weeks CF'!$E$7:$X$7=L$7)*('13 weeks CF'!$B$10:$B$59=$B30))</f>
        <v>0</v>
      </c>
      <c r="M30" s="75" cm="1">
        <f t="array" ref="M30">SUMPRODUCT('13 weeks CF'!$E$10:$X$59*('13 weeks CF'!$E$7:$X$7=M$7)*('13 weeks CF'!$B$10:$B$59=$B30))</f>
        <v>0</v>
      </c>
      <c r="N30" s="75" cm="1">
        <f t="array" ref="N30">SUMPRODUCT('13 weeks CF'!$E$10:$X$59*('13 weeks CF'!$E$7:$X$7=N$7)*('13 weeks CF'!$B$10:$B$59=$B30))</f>
        <v>0</v>
      </c>
      <c r="O30" s="75" cm="1">
        <f t="array" ref="O30">SUMPRODUCT('13 weeks CF'!$E$10:$X$59*('13 weeks CF'!$E$7:$X$7=O$7)*('13 weeks CF'!$B$10:$B$59=$B30))</f>
        <v>-55000</v>
      </c>
      <c r="P30" s="75" cm="1">
        <f t="array" ref="P30">SUMPRODUCT('13 weeks CF'!$E$10:$X$59*('13 weeks CF'!$E$7:$X$7=P$7)*('13 weeks CF'!$B$10:$B$59=$B30))</f>
        <v>0</v>
      </c>
      <c r="Q30" s="75" cm="1">
        <f t="array" ref="Q30">SUMPRODUCT('13 weeks CF'!$E$10:$X$59*('13 weeks CF'!$E$7:$X$7=Q$7)*('13 weeks CF'!$B$10:$B$59=$B30))</f>
        <v>0</v>
      </c>
      <c r="R30" s="75" cm="1">
        <f t="array" ref="R30">SUMPRODUCT('13 weeks CF'!$E$10:$X$59*('13 weeks CF'!$E$7:$X$7=R$7)*('13 weeks CF'!$B$10:$B$59=$B30))</f>
        <v>0</v>
      </c>
      <c r="S30" s="75" cm="1">
        <f t="array" ref="S30">SUMPRODUCT('13 weeks CF'!$E$10:$X$59*('13 weeks CF'!$E$7:$X$7=S$7)*('13 weeks CF'!$B$10:$B$59=$B30))</f>
        <v>-179500</v>
      </c>
      <c r="T30" s="75" cm="1">
        <f t="array" ref="T30">SUMPRODUCT('13 weeks CF'!$E$10:$X$59*('13 weeks CF'!$E$7:$X$7=T$7)*('13 weeks CF'!$B$10:$B$59=$B30))</f>
        <v>0</v>
      </c>
      <c r="U30" s="75" cm="1">
        <f t="array" ref="U30">SUMPRODUCT('13 weeks CF'!$E$10:$X$59*('13 weeks CF'!$E$7:$X$7=U$7)*('13 weeks CF'!$B$10:$B$59=$B30))</f>
        <v>0</v>
      </c>
      <c r="V30" s="75" cm="1">
        <f t="array" ref="V30">SUMPRODUCT('13 weeks CF'!$E$10:$X$59*('13 weeks CF'!$E$7:$X$7=V$7)*('13 weeks CF'!$B$10:$B$59=$B30))</f>
        <v>0</v>
      </c>
      <c r="W30" s="75" cm="1">
        <f t="array" ref="W30">SUMPRODUCT('13 weeks CF'!$E$10:$X$59*('13 weeks CF'!$E$7:$X$7=W$7)*('13 weeks CF'!$B$10:$B$59=$B30))</f>
        <v>-210000</v>
      </c>
    </row>
    <row r="31" spans="2:23" x14ac:dyDescent="0.3">
      <c r="B31" s="4" t="s">
        <v>65</v>
      </c>
      <c r="C31" s="27" t="str">
        <f>"This Week's "&amp;B31</f>
        <v>This Week's Credit Cards</v>
      </c>
      <c r="E31" s="75" cm="1">
        <f t="array" ref="E31">SUMPRODUCT('Rolling CF'!$E$10:$Y$59*('Rolling CF'!$E$7:$Y$7=E$7)*('Rolling CF'!$B$10:$B$59=$B31))</f>
        <v>0</v>
      </c>
      <c r="F31" s="75" cm="1">
        <f t="array" ref="F31">SUMPRODUCT('Rolling CF'!$E$10:$Y$59*('Rolling CF'!$E$7:$Y$7=F$7)*('Rolling CF'!$B$10:$B$59=$B31))</f>
        <v>-194090</v>
      </c>
      <c r="G31" s="75" cm="1">
        <f t="array" ref="G31">SUMPRODUCT('Rolling CF'!$E$10:$Y$59*('Rolling CF'!$E$7:$Y$7=G$7)*('Rolling CF'!$B$10:$B$59=$B31))</f>
        <v>0</v>
      </c>
      <c r="H31" s="75" cm="1">
        <f t="array" ref="H31">SUMPRODUCT('Rolling CF'!$E$10:$Y$59*('Rolling CF'!$E$7:$Y$7=H$7)*('Rolling CF'!$B$10:$B$59=$B31))</f>
        <v>-100000</v>
      </c>
      <c r="I31" s="75" cm="1">
        <f t="array" ref="I31">SUMPRODUCT('Rolling CF'!$E$10:$Y$59*('Rolling CF'!$E$7:$Y$7=I$7)*('Rolling CF'!$B$10:$B$59=$B31))</f>
        <v>0</v>
      </c>
      <c r="J31" s="75" cm="1">
        <f t="array" ref="J31">SUMPRODUCT('Rolling CF'!$E$10:$Y$59*('Rolling CF'!$E$7:$Y$7=J$7)*('Rolling CF'!$B$10:$B$59=$B31))</f>
        <v>-32000</v>
      </c>
      <c r="K31" s="75" cm="1">
        <f t="array" ref="K31">SUMPRODUCT('Rolling CF'!$E$10:$Y$59*('Rolling CF'!$E$7:$Y$7=K$7)*('Rolling CF'!$B$10:$B$59=$B31))</f>
        <v>-350210</v>
      </c>
      <c r="L31" s="75" cm="1">
        <f t="array" ref="L31">SUMPRODUCT('Rolling CF'!$E$10:$Y$59*('Rolling CF'!$E$7:$Y$7=L$7)*('Rolling CF'!$B$10:$B$59=$B31))</f>
        <v>0</v>
      </c>
      <c r="M31" s="75" cm="1">
        <f t="array" ref="M31">SUMPRODUCT('Rolling CF'!$E$10:$Y$59*('Rolling CF'!$E$7:$Y$7=M$7)*('Rolling CF'!$B$10:$B$59=$B31))</f>
        <v>0</v>
      </c>
      <c r="N31" s="75" cm="1">
        <f t="array" ref="N31">SUMPRODUCT('Rolling CF'!$E$10:$Y$59*('Rolling CF'!$E$7:$Y$7=N$7)*('Rolling CF'!$B$10:$B$59=$B31))</f>
        <v>0</v>
      </c>
      <c r="O31" s="75" cm="1">
        <f t="array" ref="O31">SUMPRODUCT('Rolling CF'!$E$10:$Y$59*('Rolling CF'!$E$7:$Y$7=O$7)*('Rolling CF'!$B$10:$B$59=$B31))</f>
        <v>-153000</v>
      </c>
      <c r="P31" s="75" cm="1">
        <f t="array" ref="P31">SUMPRODUCT('Rolling CF'!$E$10:$Y$59*('Rolling CF'!$E$7:$Y$7=P$7)*('Rolling CF'!$B$10:$B$59=$B31))</f>
        <v>0</v>
      </c>
      <c r="Q31" s="75" cm="1">
        <f t="array" ref="Q31">SUMPRODUCT('Rolling CF'!$E$10:$Y$59*('Rolling CF'!$E$7:$Y$7=Q$7)*('Rolling CF'!$B$10:$B$59=$B31))</f>
        <v>0</v>
      </c>
      <c r="R31" s="75" cm="1">
        <f t="array" ref="R31">SUMPRODUCT('Rolling CF'!$E$10:$Y$59*('Rolling CF'!$E$7:$Y$7=R$7)*('Rolling CF'!$B$10:$B$59=$B31))</f>
        <v>0</v>
      </c>
      <c r="S31" s="75" cm="1">
        <f t="array" ref="S31">SUMPRODUCT('Rolling CF'!$E$10:$Y$59*('Rolling CF'!$E$7:$Y$7=S$7)*('Rolling CF'!$B$10:$B$59=$B31))</f>
        <v>-203600</v>
      </c>
      <c r="T31" s="75" cm="1">
        <f t="array" ref="T31">SUMPRODUCT('Rolling CF'!$E$10:$Y$59*('Rolling CF'!$E$7:$Y$7=T$7)*('Rolling CF'!$B$10:$B$59=$B31))</f>
        <v>0</v>
      </c>
      <c r="U31" s="75" cm="1">
        <f t="array" ref="U31">SUMPRODUCT('Rolling CF'!$E$10:$Y$59*('Rolling CF'!$E$7:$Y$7=U$7)*('Rolling CF'!$B$10:$B$59=$B31))</f>
        <v>0</v>
      </c>
      <c r="V31" s="75" cm="1">
        <f t="array" ref="V31">SUMPRODUCT('Rolling CF'!$E$10:$Y$59*('Rolling CF'!$E$7:$Y$7=V$7)*('Rolling CF'!$B$10:$B$59=$B31))</f>
        <v>0</v>
      </c>
      <c r="W31" s="75" cm="1">
        <f t="array" ref="W31">SUMPRODUCT('Rolling CF'!$E$10:$Y$59*('Rolling CF'!$E$7:$Y$7=W$7)*('Rolling CF'!$B$10:$B$59=$B31))</f>
        <v>-216000</v>
      </c>
    </row>
    <row r="32" spans="2:23" x14ac:dyDescent="0.3">
      <c r="B32" s="4" t="s">
        <v>65</v>
      </c>
      <c r="C32" s="47" t="str">
        <f>"Difference in "&amp;B32</f>
        <v>Difference in Credit Cards</v>
      </c>
      <c r="D32" s="89"/>
      <c r="E32" s="90">
        <f>E31-E30</f>
        <v>0</v>
      </c>
      <c r="F32" s="90">
        <f t="shared" ref="F32" si="25">F31-F30</f>
        <v>0</v>
      </c>
      <c r="G32" s="90">
        <f t="shared" ref="G32" si="26">G31-G30</f>
        <v>0</v>
      </c>
      <c r="H32" s="90">
        <f t="shared" ref="H32" si="27">H31-H30</f>
        <v>0</v>
      </c>
      <c r="I32" s="90">
        <f t="shared" ref="I32" si="28">I31-I30</f>
        <v>0</v>
      </c>
      <c r="J32" s="90">
        <f t="shared" ref="J32" si="29">J31-J30</f>
        <v>0</v>
      </c>
      <c r="K32" s="90">
        <f t="shared" ref="K32" si="30">K31-K30</f>
        <v>-210</v>
      </c>
      <c r="L32" s="90">
        <f t="shared" ref="L32" si="31">L31-L30</f>
        <v>0</v>
      </c>
      <c r="M32" s="90">
        <f t="shared" ref="M32" si="32">M31-M30</f>
        <v>0</v>
      </c>
      <c r="N32" s="90">
        <f t="shared" ref="N32" si="33">N31-N30</f>
        <v>0</v>
      </c>
      <c r="O32" s="90">
        <f t="shared" ref="O32" si="34">O31-O30</f>
        <v>-98000</v>
      </c>
      <c r="P32" s="90">
        <f t="shared" ref="P32" si="35">P31-P30</f>
        <v>0</v>
      </c>
      <c r="Q32" s="90">
        <f t="shared" ref="Q32" si="36">Q31-Q30</f>
        <v>0</v>
      </c>
      <c r="R32" s="90">
        <f t="shared" ref="R32" si="37">R31-R30</f>
        <v>0</v>
      </c>
      <c r="S32" s="90">
        <f t="shared" ref="S32" si="38">S31-S30</f>
        <v>-24100</v>
      </c>
      <c r="T32" s="90">
        <f t="shared" ref="T32" si="39">T31-T30</f>
        <v>0</v>
      </c>
      <c r="U32" s="90">
        <f t="shared" ref="U32" si="40">U31-U30</f>
        <v>0</v>
      </c>
      <c r="V32" s="90">
        <f t="shared" ref="V32" si="41">V31-V30</f>
        <v>0</v>
      </c>
      <c r="W32" s="90">
        <f t="shared" ref="W32" si="42">W31-W30</f>
        <v>-6000</v>
      </c>
    </row>
    <row r="33" spans="2:23" x14ac:dyDescent="0.3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</row>
    <row r="34" spans="2:23" x14ac:dyDescent="0.3">
      <c r="B34" s="4" t="s">
        <v>266</v>
      </c>
      <c r="C34" s="27" t="str">
        <f>"Last Week's "&amp;B34</f>
        <v>Last Week's Other Ops</v>
      </c>
      <c r="E34" s="75" cm="1">
        <f t="array" ref="E34">SUMPRODUCT('13 weeks CF'!$E$10:$X$59*('13 weeks CF'!$E$7:$X$7=E$7)*('13 weeks CF'!$B$10:$B$59=$B34))</f>
        <v>-80520</v>
      </c>
      <c r="F34" s="75" cm="1">
        <f t="array" ref="F34">SUMPRODUCT('13 weeks CF'!$E$10:$X$59*('13 weeks CF'!$E$7:$X$7=F$7)*('13 weeks CF'!$B$10:$B$59=$B34))</f>
        <v>-97600</v>
      </c>
      <c r="G34" s="75" cm="1">
        <f t="array" ref="G34">SUMPRODUCT('13 weeks CF'!$E$10:$X$59*('13 weeks CF'!$E$7:$X$7=G$7)*('13 weeks CF'!$B$10:$B$59=$B34))</f>
        <v>-55100</v>
      </c>
      <c r="H34" s="75" cm="1">
        <f t="array" ref="H34">SUMPRODUCT('13 weeks CF'!$E$10:$X$59*('13 weeks CF'!$E$7:$X$7=H$7)*('13 weeks CF'!$B$10:$B$59=$B34))</f>
        <v>-40270</v>
      </c>
      <c r="I34" s="75" cm="1">
        <f t="array" ref="I34">SUMPRODUCT('13 weeks CF'!$E$10:$X$59*('13 weeks CF'!$E$7:$X$7=I$7)*('13 weeks CF'!$B$10:$B$59=$B34))</f>
        <v>-48170</v>
      </c>
      <c r="J34" s="75" cm="1">
        <f t="array" ref="J34">SUMPRODUCT('13 weeks CF'!$E$10:$X$59*('13 weeks CF'!$E$7:$X$7=J$7)*('13 weeks CF'!$B$10:$B$59=$B34))</f>
        <v>-45620</v>
      </c>
      <c r="K34" s="75" cm="1">
        <f t="array" ref="K34">SUMPRODUCT('13 weeks CF'!$E$10:$X$59*('13 weeks CF'!$E$7:$X$7=K$7)*('13 weeks CF'!$B$10:$B$59=$B34))</f>
        <v>-63130</v>
      </c>
      <c r="L34" s="75" cm="1">
        <f t="array" ref="L34">SUMPRODUCT('13 weeks CF'!$E$10:$X$59*('13 weeks CF'!$E$7:$X$7=L$7)*('13 weeks CF'!$B$10:$B$59=$B34))</f>
        <v>-54398.333333333328</v>
      </c>
      <c r="M34" s="75" cm="1">
        <f t="array" ref="M34">SUMPRODUCT('13 weeks CF'!$E$10:$X$59*('13 weeks CF'!$E$7:$X$7=M$7)*('13 weeks CF'!$B$10:$B$59=$B34))</f>
        <v>-49308.055555555562</v>
      </c>
      <c r="N34" s="75" cm="1">
        <f t="array" ref="N34">SUMPRODUCT('13 weeks CF'!$E$10:$X$59*('13 weeks CF'!$E$7:$X$7=N$7)*('13 weeks CF'!$B$10:$B$59=$B34))</f>
        <v>-48342.731481481489</v>
      </c>
      <c r="O34" s="75" cm="1">
        <f t="array" ref="O34">SUMPRODUCT('13 weeks CF'!$E$10:$X$59*('13 weeks CF'!$E$7:$X$7=O$7)*('13 weeks CF'!$B$10:$B$59=$B34))</f>
        <v>-61688.186728395078</v>
      </c>
      <c r="P34" s="75" cm="1">
        <f t="array" ref="P34">SUMPRODUCT('13 weeks CF'!$E$10:$X$59*('13 weeks CF'!$E$7:$X$7=P$7)*('13 weeks CF'!$B$10:$B$59=$B34))</f>
        <v>-49941.217849794244</v>
      </c>
      <c r="Q34" s="75" cm="1">
        <f t="array" ref="Q34">SUMPRODUCT('13 weeks CF'!$E$10:$X$59*('13 weeks CF'!$E$7:$X$7=Q$7)*('13 weeks CF'!$B$10:$B$59=$B34))</f>
        <v>-51634.754158093281</v>
      </c>
      <c r="R34" s="75" cm="1">
        <f t="array" ref="R34">SUMPRODUCT('13 weeks CF'!$E$10:$X$59*('13 weeks CF'!$E$7:$X$7=R$7)*('13 weeks CF'!$B$10:$B$59=$B34))</f>
        <v>-50552.21318444216</v>
      </c>
      <c r="S34" s="75" cm="1">
        <f t="array" ref="S34">SUMPRODUCT('13 weeks CF'!$E$10:$X$59*('13 weeks CF'!$E$7:$X$7=S$7)*('13 weeks CF'!$B$10:$B$59=$B34))</f>
        <v>-61911.193159626971</v>
      </c>
      <c r="T34" s="75" cm="1">
        <f t="array" ref="T34">SUMPRODUCT('13 weeks CF'!$E$10:$X$59*('13 weeks CF'!$E$7:$X$7=T$7)*('13 weeks CF'!$B$10:$B$59=$B34))</f>
        <v>-50011.716093638875</v>
      </c>
      <c r="U34" s="75" cm="1">
        <f t="array" ref="U34">SUMPRODUCT('13 weeks CF'!$E$10:$X$59*('13 weeks CF'!$E$7:$X$7=U$7)*('13 weeks CF'!$B$10:$B$59=$B34))</f>
        <v>-50289.8801956651</v>
      </c>
      <c r="V34" s="75" cm="1">
        <f t="array" ref="V34">SUMPRODUCT('13 weeks CF'!$E$10:$X$59*('13 weeks CF'!$E$7:$X$7=V$7)*('13 weeks CF'!$B$10:$B$59=$B34))</f>
        <v>-50390.162440210101</v>
      </c>
      <c r="W34" s="75" cm="1">
        <f t="array" ref="W34">SUMPRODUCT('13 weeks CF'!$E$10:$X$59*('13 weeks CF'!$E$7:$X$7=W$7)*('13 weeks CF'!$B$10:$B$59=$B34))</f>
        <v>-62464.986538612749</v>
      </c>
    </row>
    <row r="35" spans="2:23" x14ac:dyDescent="0.3">
      <c r="B35" s="4" t="s">
        <v>266</v>
      </c>
      <c r="C35" s="27" t="str">
        <f>"This Week's "&amp;B35</f>
        <v>This Week's Other Ops</v>
      </c>
      <c r="E35" s="75" cm="1">
        <f t="array" ref="E35">SUMPRODUCT('Rolling CF'!$E$10:$Y$59*('Rolling CF'!$E$7:$Y$7=E$7)*('Rolling CF'!$B$10:$B$59=$B35))</f>
        <v>-80520</v>
      </c>
      <c r="F35" s="75" cm="1">
        <f t="array" ref="F35">SUMPRODUCT('Rolling CF'!$E$10:$Y$59*('Rolling CF'!$E$7:$Y$7=F$7)*('Rolling CF'!$B$10:$B$59=$B35))</f>
        <v>-97600</v>
      </c>
      <c r="G35" s="75" cm="1">
        <f t="array" ref="G35">SUMPRODUCT('Rolling CF'!$E$10:$Y$59*('Rolling CF'!$E$7:$Y$7=G$7)*('Rolling CF'!$B$10:$B$59=$B35))</f>
        <v>-55100</v>
      </c>
      <c r="H35" s="75" cm="1">
        <f t="array" ref="H35">SUMPRODUCT('Rolling CF'!$E$10:$Y$59*('Rolling CF'!$E$7:$Y$7=H$7)*('Rolling CF'!$B$10:$B$59=$B35))</f>
        <v>-40270</v>
      </c>
      <c r="I35" s="75" cm="1">
        <f t="array" ref="I35">SUMPRODUCT('Rolling CF'!$E$10:$Y$59*('Rolling CF'!$E$7:$Y$7=I$7)*('Rolling CF'!$B$10:$B$59=$B35))</f>
        <v>-48170</v>
      </c>
      <c r="J35" s="75" cm="1">
        <f t="array" ref="J35">SUMPRODUCT('Rolling CF'!$E$10:$Y$59*('Rolling CF'!$E$7:$Y$7=J$7)*('Rolling CF'!$B$10:$B$59=$B35))</f>
        <v>-45620</v>
      </c>
      <c r="K35" s="75" cm="1">
        <f t="array" ref="K35">SUMPRODUCT('Rolling CF'!$E$10:$Y$59*('Rolling CF'!$E$7:$Y$7=K$7)*('Rolling CF'!$B$10:$B$59=$B35))</f>
        <v>-43920</v>
      </c>
      <c r="L35" s="75" cm="1">
        <f t="array" ref="L35">SUMPRODUCT('Rolling CF'!$E$10:$Y$59*('Rolling CF'!$E$7:$Y$7=L$7)*('Rolling CF'!$B$10:$B$59=$B35))</f>
        <v>-51111.666666666672</v>
      </c>
      <c r="M35" s="75" cm="1">
        <f t="array" ref="M35">SUMPRODUCT('Rolling CF'!$E$10:$Y$59*('Rolling CF'!$E$7:$Y$7=M$7)*('Rolling CF'!$B$10:$B$59=$B35))</f>
        <v>-45473.611111111109</v>
      </c>
      <c r="N35" s="75" cm="1">
        <f t="array" ref="N35">SUMPRODUCT('Rolling CF'!$E$10:$Y$59*('Rolling CF'!$E$7:$Y$7=N$7)*('Rolling CF'!$B$10:$B$59=$B35))</f>
        <v>-43869.212962962971</v>
      </c>
      <c r="O35" s="75" cm="1">
        <f t="array" ref="O35">SUMPRODUCT('Rolling CF'!$E$10:$Y$59*('Rolling CF'!$E$7:$Y$7=O$7)*('Rolling CF'!$B$10:$B$59=$B35))</f>
        <v>-56469.081790123462</v>
      </c>
      <c r="P35" s="75" cm="1">
        <f t="array" ref="P35">SUMPRODUCT('Rolling CF'!$E$10:$Y$59*('Rolling CF'!$E$7:$Y$7=P$7)*('Rolling CF'!$B$10:$B$59=$B35))</f>
        <v>-43852.262088477379</v>
      </c>
      <c r="Q35" s="75" cm="1">
        <f t="array" ref="Q35">SUMPRODUCT('Rolling CF'!$E$10:$Y$59*('Rolling CF'!$E$7:$Y$7=Q$7)*('Rolling CF'!$B$10:$B$59=$B35))</f>
        <v>-44530.972436556935</v>
      </c>
      <c r="R35" s="75" cm="1">
        <f t="array" ref="R35">SUMPRODUCT('Rolling CF'!$E$10:$Y$59*('Rolling CF'!$E$7:$Y$7=R$7)*('Rolling CF'!$B$10:$B$59=$B35))</f>
        <v>-45551.134509316427</v>
      </c>
      <c r="S35" s="75" cm="1">
        <f t="array" ref="S35">SUMPRODUCT('Rolling CF'!$E$10:$Y$59*('Rolling CF'!$E$7:$Y$7=S$7)*('Rolling CF'!$B$10:$B$59=$B35))</f>
        <v>-56624.379149758046</v>
      </c>
      <c r="T35" s="75" cm="1">
        <f t="array" ref="T35">SUMPRODUCT('Rolling CF'!$E$10:$Y$59*('Rolling CF'!$E$7:$Y$7=T$7)*('Rolling CF'!$B$10:$B$59=$B35))</f>
        <v>-44482.840489532537</v>
      </c>
      <c r="U35" s="75" cm="1">
        <f t="array" ref="U35">SUMPRODUCT('Rolling CF'!$E$10:$Y$59*('Rolling CF'!$E$7:$Y$7=U$7)*('Rolling CF'!$B$10:$B$59=$B35))</f>
        <v>-44585.111743960792</v>
      </c>
      <c r="V35" s="75" cm="1">
        <f t="array" ref="V35">SUMPRODUCT('Rolling CF'!$E$10:$Y$59*('Rolling CF'!$E$7:$Y$7=V$7)*('Rolling CF'!$B$10:$B$59=$B35))</f>
        <v>-44604.450069600367</v>
      </c>
      <c r="W35" s="75" cm="1">
        <f t="array" ref="W35">SUMPRODUCT('Rolling CF'!$E$10:$Y$59*('Rolling CF'!$E$7:$Y$7=W$7)*('Rolling CF'!$B$10:$B$59=$B35))</f>
        <v>-56729.814733120853</v>
      </c>
    </row>
    <row r="36" spans="2:23" x14ac:dyDescent="0.3">
      <c r="B36" s="4" t="s">
        <v>266</v>
      </c>
      <c r="C36" s="47" t="str">
        <f>"Difference in "&amp;B36</f>
        <v>Difference in Other Ops</v>
      </c>
      <c r="D36" s="89"/>
      <c r="E36" s="90">
        <f>E35-E34</f>
        <v>0</v>
      </c>
      <c r="F36" s="90">
        <f t="shared" ref="F36" si="43">F35-F34</f>
        <v>0</v>
      </c>
      <c r="G36" s="90">
        <f t="shared" ref="G36" si="44">G35-G34</f>
        <v>0</v>
      </c>
      <c r="H36" s="90">
        <f t="shared" ref="H36" si="45">H35-H34</f>
        <v>0</v>
      </c>
      <c r="I36" s="90">
        <f t="shared" ref="I36" si="46">I35-I34</f>
        <v>0</v>
      </c>
      <c r="J36" s="90">
        <f t="shared" ref="J36" si="47">J35-J34</f>
        <v>0</v>
      </c>
      <c r="K36" s="90">
        <f t="shared" ref="K36" si="48">K35-K34</f>
        <v>19210</v>
      </c>
      <c r="L36" s="90">
        <f t="shared" ref="L36" si="49">L35-L34</f>
        <v>3286.666666666657</v>
      </c>
      <c r="M36" s="90">
        <f t="shared" ref="M36" si="50">M35-M34</f>
        <v>3834.4444444444525</v>
      </c>
      <c r="N36" s="90">
        <f t="shared" ref="N36" si="51">N35-N34</f>
        <v>4473.5185185185182</v>
      </c>
      <c r="O36" s="90">
        <f t="shared" ref="O36" si="52">O35-O34</f>
        <v>5219.1049382716155</v>
      </c>
      <c r="P36" s="90">
        <f t="shared" ref="P36" si="53">P35-P34</f>
        <v>6088.9557613168654</v>
      </c>
      <c r="Q36" s="90">
        <f t="shared" ref="Q36" si="54">Q35-Q34</f>
        <v>7103.7817215363466</v>
      </c>
      <c r="R36" s="90">
        <f t="shared" ref="R36" si="55">R35-R34</f>
        <v>5001.0786751257328</v>
      </c>
      <c r="S36" s="90">
        <f t="shared" ref="S36" si="56">S35-S34</f>
        <v>5286.8140098689255</v>
      </c>
      <c r="T36" s="90">
        <f t="shared" ref="T36" si="57">T35-T34</f>
        <v>5528.8756041063389</v>
      </c>
      <c r="U36" s="90">
        <f t="shared" ref="U36" si="58">U35-U34</f>
        <v>5704.768451704309</v>
      </c>
      <c r="V36" s="90">
        <f t="shared" ref="V36" si="59">V35-V34</f>
        <v>5785.7123706097336</v>
      </c>
      <c r="W36" s="90">
        <f t="shared" ref="W36" si="60">W35-W34</f>
        <v>5735.1718054918965</v>
      </c>
    </row>
    <row r="37" spans="2:23" x14ac:dyDescent="0.3"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</row>
    <row r="38" spans="2:23" x14ac:dyDescent="0.3">
      <c r="B38" s="4" t="s">
        <v>267</v>
      </c>
      <c r="C38" s="27" t="str">
        <f>"Last Week's "&amp;B38</f>
        <v>Last Week's Non Ops</v>
      </c>
      <c r="E38" s="75" cm="1">
        <f t="array" ref="E38">SUMPRODUCT('13 weeks CF'!$E$10:$X$59*('13 weeks CF'!$E$7:$X$7=E$7)*('13 weeks CF'!$B$10:$B$59=$B38))</f>
        <v>-21230</v>
      </c>
      <c r="F38" s="75" cm="1">
        <f t="array" ref="F38">SUMPRODUCT('13 weeks CF'!$E$10:$X$59*('13 weeks CF'!$E$7:$X$7=F$7)*('13 weeks CF'!$B$10:$B$59=$B38))</f>
        <v>-33320</v>
      </c>
      <c r="G38" s="75" cm="1">
        <f t="array" ref="G38">SUMPRODUCT('13 weeks CF'!$E$10:$X$59*('13 weeks CF'!$E$7:$X$7=G$7)*('13 weeks CF'!$B$10:$B$59=$B38))</f>
        <v>-20220</v>
      </c>
      <c r="H38" s="75" cm="1">
        <f t="array" ref="H38">SUMPRODUCT('13 weeks CF'!$E$10:$X$59*('13 weeks CF'!$E$7:$X$7=H$7)*('13 weeks CF'!$B$10:$B$59=$B38))</f>
        <v>-15340</v>
      </c>
      <c r="I38" s="75" cm="1">
        <f t="array" ref="I38">SUMPRODUCT('13 weeks CF'!$E$10:$X$59*('13 weeks CF'!$E$7:$X$7=I$7)*('13 weeks CF'!$B$10:$B$59=$B38))</f>
        <v>-12680</v>
      </c>
      <c r="J38" s="75" cm="1">
        <f t="array" ref="J38">SUMPRODUCT('13 weeks CF'!$E$10:$X$59*('13 weeks CF'!$E$7:$X$7=J$7)*('13 weeks CF'!$B$10:$B$59=$B38))</f>
        <v>-12340</v>
      </c>
      <c r="K38" s="75" cm="1">
        <f t="array" ref="K38">SUMPRODUCT('13 weeks CF'!$E$10:$X$59*('13 weeks CF'!$E$7:$X$7=K$7)*('13 weeks CF'!$B$10:$B$59=$B38))</f>
        <v>-19188.333333333332</v>
      </c>
      <c r="L38" s="75" cm="1">
        <f t="array" ref="L38">SUMPRODUCT('13 weeks CF'!$E$10:$X$59*('13 weeks CF'!$E$7:$X$7=L$7)*('13 weeks CF'!$B$10:$B$59=$B38))</f>
        <v>-18848.055555555555</v>
      </c>
      <c r="M38" s="75" cm="1">
        <f t="array" ref="M38">SUMPRODUCT('13 weeks CF'!$E$10:$X$59*('13 weeks CF'!$E$7:$X$7=M$7)*('13 weeks CF'!$B$10:$B$59=$B38))</f>
        <v>-16436.06481481481</v>
      </c>
      <c r="N38" s="75" cm="1">
        <f t="array" ref="N38">SUMPRODUCT('13 weeks CF'!$E$10:$X$59*('13 weeks CF'!$E$7:$X$7=N$7)*('13 weeks CF'!$B$10:$B$59=$B38))</f>
        <v>-15805.408950617282</v>
      </c>
      <c r="O38" s="75" cm="1">
        <f t="array" ref="O38">SUMPRODUCT('13 weeks CF'!$E$10:$X$59*('13 weeks CF'!$E$7:$X$7=O$7)*('13 weeks CF'!$B$10:$B$59=$B38))</f>
        <v>-15882.977109053496</v>
      </c>
      <c r="P38" s="75" cm="1">
        <f t="array" ref="P38">SUMPRODUCT('13 weeks CF'!$E$10:$X$59*('13 weeks CF'!$E$7:$X$7=P$7)*('13 weeks CF'!$B$10:$B$59=$B38))</f>
        <v>-16416.806627229078</v>
      </c>
      <c r="Q38" s="75" cm="1">
        <f t="array" ref="Q38">SUMPRODUCT('13 weeks CF'!$E$10:$X$59*('13 weeks CF'!$E$7:$X$7=Q$7)*('13 weeks CF'!$B$10:$B$59=$B38))</f>
        <v>-17096.274398433929</v>
      </c>
      <c r="R38" s="75" cm="1">
        <f t="array" ref="R38">SUMPRODUCT('13 weeks CF'!$E$10:$X$59*('13 weeks CF'!$E$7:$X$7=R$7)*('13 weeks CF'!$B$10:$B$59=$B38))</f>
        <v>-16747.597909284024</v>
      </c>
      <c r="S38" s="75" cm="1">
        <f t="array" ref="S38">SUMPRODUCT('13 weeks CF'!$E$10:$X$59*('13 weeks CF'!$E$7:$X$7=S$7)*('13 weeks CF'!$B$10:$B$59=$B38))</f>
        <v>-16397.521634905439</v>
      </c>
      <c r="T38" s="75" cm="1">
        <f t="array" ref="T38">SUMPRODUCT('13 weeks CF'!$E$10:$X$59*('13 weeks CF'!$E$7:$X$7=T$7)*('13 weeks CF'!$B$10:$B$59=$B38))</f>
        <v>-16391.097771587207</v>
      </c>
      <c r="U38" s="75" cm="1">
        <f t="array" ref="U38">SUMPRODUCT('13 weeks CF'!$E$10:$X$59*('13 weeks CF'!$E$7:$X$7=U$7)*('13 weeks CF'!$B$10:$B$59=$B38))</f>
        <v>-16488.712575082194</v>
      </c>
      <c r="V38" s="75" cm="1">
        <f t="array" ref="V38">SUMPRODUCT('13 weeks CF'!$E$10:$X$59*('13 weeks CF'!$E$7:$X$7=V$7)*('13 weeks CF'!$B$10:$B$59=$B38))</f>
        <v>-16589.668486086979</v>
      </c>
      <c r="W38" s="75" cm="1">
        <f t="array" ref="W38">SUMPRODUCT('13 weeks CF'!$E$10:$X$59*('13 weeks CF'!$E$7:$X$7=W$7)*('13 weeks CF'!$B$10:$B$59=$B38))</f>
        <v>-16618.478795896626</v>
      </c>
    </row>
    <row r="39" spans="2:23" x14ac:dyDescent="0.3">
      <c r="B39" s="4" t="s">
        <v>267</v>
      </c>
      <c r="C39" s="27" t="str">
        <f>"This Week's "&amp;B39</f>
        <v>This Week's Non Ops</v>
      </c>
      <c r="E39" s="75" cm="1">
        <f t="array" ref="E39">SUMPRODUCT('Rolling CF'!$E$10:$Y$59*('Rolling CF'!$E$7:$Y$7=E$7)*('Rolling CF'!$B$10:$B$59=$B39))</f>
        <v>-21230</v>
      </c>
      <c r="F39" s="75" cm="1">
        <f t="array" ref="F39">SUMPRODUCT('Rolling CF'!$E$10:$Y$59*('Rolling CF'!$E$7:$Y$7=F$7)*('Rolling CF'!$B$10:$B$59=$B39))</f>
        <v>-33320</v>
      </c>
      <c r="G39" s="75" cm="1">
        <f t="array" ref="G39">SUMPRODUCT('Rolling CF'!$E$10:$Y$59*('Rolling CF'!$E$7:$Y$7=G$7)*('Rolling CF'!$B$10:$B$59=$B39))</f>
        <v>-20220</v>
      </c>
      <c r="H39" s="75" cm="1">
        <f t="array" ref="H39">SUMPRODUCT('Rolling CF'!$E$10:$Y$59*('Rolling CF'!$E$7:$Y$7=H$7)*('Rolling CF'!$B$10:$B$59=$B39))</f>
        <v>-15340</v>
      </c>
      <c r="I39" s="75" cm="1">
        <f t="array" ref="I39">SUMPRODUCT('Rolling CF'!$E$10:$Y$59*('Rolling CF'!$E$7:$Y$7=I$7)*('Rolling CF'!$B$10:$B$59=$B39))</f>
        <v>-12680</v>
      </c>
      <c r="J39" s="75" cm="1">
        <f t="array" ref="J39">SUMPRODUCT('Rolling CF'!$E$10:$Y$59*('Rolling CF'!$E$7:$Y$7=J$7)*('Rolling CF'!$B$10:$B$59=$B39))</f>
        <v>-12340</v>
      </c>
      <c r="K39" s="75" cm="1">
        <f t="array" ref="K39">SUMPRODUCT('Rolling CF'!$E$10:$Y$59*('Rolling CF'!$E$7:$Y$7=K$7)*('Rolling CF'!$B$10:$B$59=$B39))</f>
        <v>-11820</v>
      </c>
      <c r="L39" s="75" cm="1">
        <f t="array" ref="L39">SUMPRODUCT('Rolling CF'!$E$10:$Y$59*('Rolling CF'!$E$7:$Y$7=L$7)*('Rolling CF'!$B$10:$B$59=$B39))</f>
        <v>-17620</v>
      </c>
      <c r="M39" s="75" cm="1">
        <f t="array" ref="M39">SUMPRODUCT('Rolling CF'!$E$10:$Y$59*('Rolling CF'!$E$7:$Y$7=M$7)*('Rolling CF'!$B$10:$B$59=$B39))</f>
        <v>-15003.333333333334</v>
      </c>
      <c r="N39" s="75" cm="1">
        <f t="array" ref="N39">SUMPRODUCT('Rolling CF'!$E$10:$Y$59*('Rolling CF'!$E$7:$Y$7=N$7)*('Rolling CF'!$B$10:$B$59=$B39))</f>
        <v>-14133.888888888889</v>
      </c>
      <c r="O39" s="75" cm="1">
        <f t="array" ref="O39">SUMPRODUCT('Rolling CF'!$E$10:$Y$59*('Rolling CF'!$E$7:$Y$7=O$7)*('Rolling CF'!$B$10:$B$59=$B39))</f>
        <v>-13932.87037037037</v>
      </c>
      <c r="P39" s="75" cm="1">
        <f t="array" ref="P39">SUMPRODUCT('Rolling CF'!$E$10:$Y$59*('Rolling CF'!$E$7:$Y$7=P$7)*('Rolling CF'!$B$10:$B$59=$B39))</f>
        <v>-14141.682098765432</v>
      </c>
      <c r="Q39" s="75" cm="1">
        <f t="array" ref="Q39">SUMPRODUCT('Rolling CF'!$E$10:$Y$59*('Rolling CF'!$E$7:$Y$7=Q$7)*('Rolling CF'!$B$10:$B$59=$B39))</f>
        <v>-14441.962448559669</v>
      </c>
      <c r="R39" s="75" cm="1">
        <f t="array" ref="R39">SUMPRODUCT('Rolling CF'!$E$10:$Y$59*('Rolling CF'!$E$7:$Y$7=R$7)*('Rolling CF'!$B$10:$B$59=$B39))</f>
        <v>-14878.956189986282</v>
      </c>
      <c r="S39" s="75" cm="1">
        <f t="array" ref="S39">SUMPRODUCT('Rolling CF'!$E$10:$Y$59*('Rolling CF'!$E$7:$Y$7=S$7)*('Rolling CF'!$B$10:$B$59=$B39))</f>
        <v>-14422.115554983995</v>
      </c>
      <c r="T39" s="75" cm="1">
        <f t="array" ref="T39">SUMPRODUCT('Rolling CF'!$E$10:$Y$59*('Rolling CF'!$E$7:$Y$7=T$7)*('Rolling CF'!$B$10:$B$59=$B39))</f>
        <v>-14325.245925259107</v>
      </c>
      <c r="U39" s="75" cm="1">
        <f t="array" ref="U39">SUMPRODUCT('Rolling CF'!$E$10:$Y$59*('Rolling CF'!$E$7:$Y$7=U$7)*('Rolling CF'!$B$10:$B$59=$B39))</f>
        <v>-14357.138764654143</v>
      </c>
      <c r="V39" s="75" cm="1">
        <f t="array" ref="V39">SUMPRODUCT('Rolling CF'!$E$10:$Y$59*('Rolling CF'!$E$7:$Y$7=V$7)*('Rolling CF'!$B$10:$B$59=$B39))</f>
        <v>-14427.85016370144</v>
      </c>
      <c r="W39" s="75" cm="1">
        <f t="array" ref="W39">SUMPRODUCT('Rolling CF'!$E$10:$Y$59*('Rolling CF'!$E$7:$Y$7=W$7)*('Rolling CF'!$B$10:$B$59=$B39))</f>
        <v>-14475.544841190773</v>
      </c>
    </row>
    <row r="40" spans="2:23" x14ac:dyDescent="0.3">
      <c r="B40" s="4" t="s">
        <v>267</v>
      </c>
      <c r="C40" s="47" t="str">
        <f>"Difference in "&amp;B40</f>
        <v>Difference in Non Ops</v>
      </c>
      <c r="D40" s="89"/>
      <c r="E40" s="90">
        <f>E39-E38</f>
        <v>0</v>
      </c>
      <c r="F40" s="90">
        <f t="shared" ref="F40" si="61">F39-F38</f>
        <v>0</v>
      </c>
      <c r="G40" s="90">
        <f t="shared" ref="G40" si="62">G39-G38</f>
        <v>0</v>
      </c>
      <c r="H40" s="90">
        <f t="shared" ref="H40" si="63">H39-H38</f>
        <v>0</v>
      </c>
      <c r="I40" s="90">
        <f t="shared" ref="I40" si="64">I39-I38</f>
        <v>0</v>
      </c>
      <c r="J40" s="90">
        <f t="shared" ref="J40" si="65">J39-J38</f>
        <v>0</v>
      </c>
      <c r="K40" s="90">
        <f t="shared" ref="K40" si="66">K39-K38</f>
        <v>7368.3333333333321</v>
      </c>
      <c r="L40" s="90">
        <f t="shared" ref="L40" si="67">L39-L38</f>
        <v>1228.0555555555547</v>
      </c>
      <c r="M40" s="90">
        <f t="shared" ref="M40" si="68">M39-M38</f>
        <v>1432.7314814814763</v>
      </c>
      <c r="N40" s="90">
        <f t="shared" ref="N40" si="69">N39-N38</f>
        <v>1671.5200617283936</v>
      </c>
      <c r="O40" s="90">
        <f t="shared" ref="O40" si="70">O39-O38</f>
        <v>1950.1067386831255</v>
      </c>
      <c r="P40" s="90">
        <f t="shared" ref="P40" si="71">P39-P38</f>
        <v>2275.1245284636461</v>
      </c>
      <c r="Q40" s="90">
        <f t="shared" ref="Q40" si="72">Q39-Q38</f>
        <v>2654.3119498742599</v>
      </c>
      <c r="R40" s="90">
        <f t="shared" ref="R40" si="73">R39-R38</f>
        <v>1868.6417192977424</v>
      </c>
      <c r="S40" s="90">
        <f t="shared" ref="S40" si="74">S39-S38</f>
        <v>1975.406079921444</v>
      </c>
      <c r="T40" s="90">
        <f t="shared" ref="T40" si="75">T39-T38</f>
        <v>2065.8518463280998</v>
      </c>
      <c r="U40" s="90">
        <f t="shared" ref="U40" si="76">U39-U38</f>
        <v>2131.5738104280517</v>
      </c>
      <c r="V40" s="90">
        <f t="shared" ref="V40" si="77">V39-V38</f>
        <v>2161.8183223855394</v>
      </c>
      <c r="W40" s="90">
        <f t="shared" ref="W40" si="78">W39-W38</f>
        <v>2142.9339547058535</v>
      </c>
    </row>
    <row r="41" spans="2:23" x14ac:dyDescent="0.3">
      <c r="B41"/>
    </row>
    <row r="42" spans="2:23" ht="14.5" x14ac:dyDescent="0.45">
      <c r="B42"/>
      <c r="C42" s="20" t="s">
        <v>279</v>
      </c>
      <c r="D42" s="25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 spans="2:23" ht="14.5" x14ac:dyDescent="0.45">
      <c r="B43"/>
      <c r="C43" s="91" t="s">
        <v>280</v>
      </c>
      <c r="D43" s="25"/>
      <c r="E43" s="26"/>
      <c r="F43" s="26"/>
      <c r="G43" s="26"/>
      <c r="H43" s="26"/>
      <c r="I43" s="91" t="s">
        <v>281</v>
      </c>
      <c r="J43" s="26"/>
      <c r="K43" s="26"/>
      <c r="L43" s="26"/>
      <c r="M43" s="26"/>
      <c r="N43" s="26"/>
      <c r="O43" s="26"/>
      <c r="P43" s="20"/>
      <c r="Q43" s="91" t="s">
        <v>282</v>
      </c>
      <c r="R43" s="26"/>
      <c r="S43" s="26"/>
      <c r="T43" s="26"/>
      <c r="U43" s="26"/>
      <c r="V43" s="26"/>
      <c r="W43" s="26"/>
    </row>
    <row r="44" spans="2:23" x14ac:dyDescent="0.3">
      <c r="C44" t="s">
        <v>284</v>
      </c>
      <c r="I44" t="s">
        <v>287</v>
      </c>
      <c r="Q44" t="s">
        <v>289</v>
      </c>
    </row>
    <row r="45" spans="2:23" x14ac:dyDescent="0.3">
      <c r="C45" t="s">
        <v>285</v>
      </c>
      <c r="I45" t="s">
        <v>287</v>
      </c>
      <c r="Q45" t="s">
        <v>289</v>
      </c>
    </row>
    <row r="46" spans="2:23" x14ac:dyDescent="0.3">
      <c r="C46" t="s">
        <v>286</v>
      </c>
      <c r="I46" t="s">
        <v>288</v>
      </c>
      <c r="Q46" t="s">
        <v>288</v>
      </c>
    </row>
  </sheetData>
  <conditionalFormatting sqref="D2">
    <cfRule type="cellIs" dxfId="13" priority="1" operator="notEqual">
      <formula>0</formula>
    </cfRule>
    <cfRule type="cellIs" dxfId="12" priority="2" operator="equal">
      <formula>0</formula>
    </cfRule>
  </conditionalFormatting>
  <conditionalFormatting sqref="D4:W4">
    <cfRule type="cellIs" dxfId="11" priority="3" operator="equal">
      <formula>"forecast"</formula>
    </cfRule>
    <cfRule type="cellIs" dxfId="10" priority="4" operator="equal">
      <formula>"actual"</formula>
    </cfRule>
  </conditionalFormatting>
  <pageMargins left="0" right="0" top="0" bottom="0" header="0" footer="0"/>
  <pageSetup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97CC-1D0C-4C2B-9BD8-C4734A6F3188}">
  <sheetPr>
    <tabColor theme="4"/>
    <pageSetUpPr fitToPage="1"/>
  </sheetPr>
  <dimension ref="B1:Y59"/>
  <sheetViews>
    <sheetView showGridLines="0" zoomScaleNormal="100" zoomScaleSheetLayoutView="100" workbookViewId="0">
      <pane xSplit="4" ySplit="16" topLeftCell="E17" activePane="bottomRight" state="frozen"/>
      <selection activeCell="J2" sqref="J2"/>
      <selection pane="topRight" activeCell="J2" sqref="J2"/>
      <selection pane="bottomLeft" activeCell="J2" sqref="J2"/>
      <selection pane="bottomRight" activeCell="G20" sqref="G20"/>
    </sheetView>
  </sheetViews>
  <sheetFormatPr defaultRowHeight="13" x14ac:dyDescent="0.3"/>
  <cols>
    <col min="1" max="1" width="2.69921875" customWidth="1"/>
    <col min="2" max="2" width="31.09765625" style="4" bestFit="1" customWidth="1"/>
    <col min="3" max="3" width="31.09765625" bestFit="1" customWidth="1"/>
    <col min="4" max="4" width="25.69921875" style="24" customWidth="1"/>
    <col min="5" max="25" width="10.69921875" customWidth="1"/>
  </cols>
  <sheetData>
    <row r="1" spans="2:25" x14ac:dyDescent="0.3">
      <c r="E1" t="s">
        <v>43</v>
      </c>
    </row>
    <row r="2" spans="2:25" x14ac:dyDescent="0.3">
      <c r="C2" t="s">
        <v>98</v>
      </c>
      <c r="D2" s="48">
        <f>'Error Checking'!$B$2</f>
        <v>0</v>
      </c>
    </row>
    <row r="4" spans="2:25" x14ac:dyDescent="0.3">
      <c r="C4" s="12" t="s">
        <v>44</v>
      </c>
      <c r="D4" s="13"/>
      <c r="E4" s="14" t="s">
        <v>45</v>
      </c>
      <c r="F4" s="14" t="s">
        <v>45</v>
      </c>
      <c r="G4" s="14" t="s">
        <v>45</v>
      </c>
      <c r="H4" s="14" t="s">
        <v>45</v>
      </c>
      <c r="I4" s="14" t="s">
        <v>45</v>
      </c>
      <c r="J4" s="14" t="s">
        <v>45</v>
      </c>
      <c r="K4" s="14" t="s">
        <v>45</v>
      </c>
      <c r="L4" s="14" t="s">
        <v>46</v>
      </c>
      <c r="M4" s="14" t="s">
        <v>46</v>
      </c>
      <c r="N4" s="14" t="s">
        <v>46</v>
      </c>
      <c r="O4" s="14" t="s">
        <v>46</v>
      </c>
      <c r="P4" s="14" t="s">
        <v>46</v>
      </c>
      <c r="Q4" s="14" t="s">
        <v>46</v>
      </c>
      <c r="R4" s="14" t="s">
        <v>46</v>
      </c>
      <c r="S4" s="14" t="s">
        <v>46</v>
      </c>
      <c r="T4" s="14" t="s">
        <v>46</v>
      </c>
      <c r="U4" s="14" t="s">
        <v>46</v>
      </c>
      <c r="V4" s="14" t="s">
        <v>46</v>
      </c>
      <c r="W4" s="14" t="s">
        <v>46</v>
      </c>
      <c r="X4" s="14" t="s">
        <v>46</v>
      </c>
      <c r="Y4" s="15"/>
    </row>
    <row r="5" spans="2:25" x14ac:dyDescent="0.3">
      <c r="C5" s="12" t="s">
        <v>47</v>
      </c>
      <c r="D5" s="13"/>
      <c r="E5" s="16">
        <v>1</v>
      </c>
      <c r="F5" s="14">
        <f>E5+1</f>
        <v>2</v>
      </c>
      <c r="G5" s="14">
        <f t="shared" ref="G5:X5" si="0">F5+1</f>
        <v>3</v>
      </c>
      <c r="H5" s="14">
        <f t="shared" si="0"/>
        <v>4</v>
      </c>
      <c r="I5" s="14">
        <f t="shared" si="0"/>
        <v>5</v>
      </c>
      <c r="J5" s="14">
        <f t="shared" si="0"/>
        <v>6</v>
      </c>
      <c r="K5" s="14">
        <f t="shared" si="0"/>
        <v>7</v>
      </c>
      <c r="L5" s="14">
        <f t="shared" si="0"/>
        <v>8</v>
      </c>
      <c r="M5" s="14">
        <f t="shared" si="0"/>
        <v>9</v>
      </c>
      <c r="N5" s="14">
        <f t="shared" si="0"/>
        <v>10</v>
      </c>
      <c r="O5" s="14">
        <f t="shared" si="0"/>
        <v>11</v>
      </c>
      <c r="P5" s="14">
        <f t="shared" si="0"/>
        <v>12</v>
      </c>
      <c r="Q5" s="14">
        <f t="shared" si="0"/>
        <v>13</v>
      </c>
      <c r="R5" s="14">
        <f t="shared" si="0"/>
        <v>14</v>
      </c>
      <c r="S5" s="14">
        <f t="shared" si="0"/>
        <v>15</v>
      </c>
      <c r="T5" s="14">
        <f t="shared" si="0"/>
        <v>16</v>
      </c>
      <c r="U5" s="14">
        <f t="shared" si="0"/>
        <v>17</v>
      </c>
      <c r="V5" s="14">
        <f t="shared" si="0"/>
        <v>18</v>
      </c>
      <c r="W5" s="14">
        <f t="shared" si="0"/>
        <v>19</v>
      </c>
      <c r="X5" s="14">
        <f t="shared" si="0"/>
        <v>20</v>
      </c>
      <c r="Y5" s="15"/>
    </row>
    <row r="6" spans="2:25" x14ac:dyDescent="0.3">
      <c r="C6" s="12" t="s">
        <v>48</v>
      </c>
      <c r="D6" s="17"/>
      <c r="E6" s="18">
        <v>45221</v>
      </c>
      <c r="F6" s="19">
        <f t="shared" ref="F6:X6" si="1">E7+1</f>
        <v>45228</v>
      </c>
      <c r="G6" s="19">
        <f t="shared" si="1"/>
        <v>45235</v>
      </c>
      <c r="H6" s="19">
        <f t="shared" si="1"/>
        <v>45242</v>
      </c>
      <c r="I6" s="19">
        <f t="shared" si="1"/>
        <v>45249</v>
      </c>
      <c r="J6" s="19">
        <f t="shared" si="1"/>
        <v>45256</v>
      </c>
      <c r="K6" s="19">
        <f t="shared" si="1"/>
        <v>45263</v>
      </c>
      <c r="L6" s="19">
        <f t="shared" si="1"/>
        <v>45270</v>
      </c>
      <c r="M6" s="19">
        <f t="shared" si="1"/>
        <v>45277</v>
      </c>
      <c r="N6" s="19">
        <f t="shared" si="1"/>
        <v>45284</v>
      </c>
      <c r="O6" s="19">
        <f t="shared" si="1"/>
        <v>45291</v>
      </c>
      <c r="P6" s="19">
        <f t="shared" si="1"/>
        <v>45298</v>
      </c>
      <c r="Q6" s="19">
        <f t="shared" si="1"/>
        <v>45305</v>
      </c>
      <c r="R6" s="19">
        <f t="shared" si="1"/>
        <v>45312</v>
      </c>
      <c r="S6" s="19">
        <f t="shared" si="1"/>
        <v>45319</v>
      </c>
      <c r="T6" s="19">
        <f t="shared" si="1"/>
        <v>45326</v>
      </c>
      <c r="U6" s="19">
        <f t="shared" si="1"/>
        <v>45333</v>
      </c>
      <c r="V6" s="19">
        <f t="shared" si="1"/>
        <v>45340</v>
      </c>
      <c r="W6" s="19">
        <f t="shared" si="1"/>
        <v>45347</v>
      </c>
      <c r="X6" s="19">
        <f t="shared" si="1"/>
        <v>45354</v>
      </c>
      <c r="Y6" s="15"/>
    </row>
    <row r="7" spans="2:25" ht="14.5" x14ac:dyDescent="0.45">
      <c r="B7" s="85" t="s">
        <v>265</v>
      </c>
      <c r="C7" s="20" t="s">
        <v>28</v>
      </c>
      <c r="D7" s="21" t="s">
        <v>49</v>
      </c>
      <c r="E7" s="22">
        <f>E6+6</f>
        <v>45227</v>
      </c>
      <c r="F7" s="22">
        <f t="shared" ref="F7:W7" si="2">F6+6</f>
        <v>45234</v>
      </c>
      <c r="G7" s="22">
        <f t="shared" si="2"/>
        <v>45241</v>
      </c>
      <c r="H7" s="22">
        <f t="shared" si="2"/>
        <v>45248</v>
      </c>
      <c r="I7" s="22">
        <f t="shared" si="2"/>
        <v>45255</v>
      </c>
      <c r="J7" s="22">
        <f t="shared" si="2"/>
        <v>45262</v>
      </c>
      <c r="K7" s="22">
        <f t="shared" si="2"/>
        <v>45269</v>
      </c>
      <c r="L7" s="22">
        <f t="shared" si="2"/>
        <v>45276</v>
      </c>
      <c r="M7" s="22">
        <f t="shared" si="2"/>
        <v>45283</v>
      </c>
      <c r="N7" s="22">
        <f t="shared" si="2"/>
        <v>45290</v>
      </c>
      <c r="O7" s="22">
        <f t="shared" si="2"/>
        <v>45297</v>
      </c>
      <c r="P7" s="22">
        <f t="shared" si="2"/>
        <v>45304</v>
      </c>
      <c r="Q7" s="22">
        <f t="shared" si="2"/>
        <v>45311</v>
      </c>
      <c r="R7" s="22">
        <f t="shared" si="2"/>
        <v>45318</v>
      </c>
      <c r="S7" s="22">
        <f t="shared" si="2"/>
        <v>45325</v>
      </c>
      <c r="T7" s="22">
        <f t="shared" si="2"/>
        <v>45332</v>
      </c>
      <c r="U7" s="22">
        <f t="shared" si="2"/>
        <v>45339</v>
      </c>
      <c r="V7" s="22">
        <f t="shared" si="2"/>
        <v>45346</v>
      </c>
      <c r="W7" s="22">
        <f t="shared" si="2"/>
        <v>45353</v>
      </c>
      <c r="X7" s="22">
        <f t="shared" ref="X7" si="3">X6+6</f>
        <v>45360</v>
      </c>
      <c r="Y7" s="23" t="s">
        <v>50</v>
      </c>
    </row>
    <row r="8" spans="2:25" x14ac:dyDescent="0.3">
      <c r="Y8" s="15"/>
    </row>
    <row r="9" spans="2:25" ht="14.5" x14ac:dyDescent="0.45">
      <c r="C9" s="20" t="s">
        <v>51</v>
      </c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15"/>
    </row>
    <row r="10" spans="2:25" x14ac:dyDescent="0.3">
      <c r="C10" s="27" t="s">
        <v>52</v>
      </c>
      <c r="D10" s="28"/>
      <c r="E10" s="29">
        <v>345580</v>
      </c>
      <c r="F10" s="30">
        <f t="shared" ref="F10:X10" si="4">E12</f>
        <v>210210</v>
      </c>
      <c r="G10" s="30">
        <f t="shared" si="4"/>
        <v>174090</v>
      </c>
      <c r="H10" s="30">
        <f t="shared" si="4"/>
        <v>239110</v>
      </c>
      <c r="I10" s="30">
        <f t="shared" si="4"/>
        <v>43360</v>
      </c>
      <c r="J10" s="30">
        <f t="shared" si="4"/>
        <v>325260</v>
      </c>
      <c r="K10" s="30">
        <f t="shared" si="4"/>
        <v>215160</v>
      </c>
      <c r="L10" s="30">
        <f t="shared" si="4"/>
        <v>108940</v>
      </c>
      <c r="M10" s="30">
        <f t="shared" si="4"/>
        <v>160208.33333333331</v>
      </c>
      <c r="N10" s="30">
        <f t="shared" si="4"/>
        <v>489131.38888888888</v>
      </c>
      <c r="O10" s="30">
        <f t="shared" si="4"/>
        <v>511128.28703703702</v>
      </c>
      <c r="P10" s="30">
        <f t="shared" si="4"/>
        <v>486126.3348765432</v>
      </c>
      <c r="Q10" s="30">
        <f t="shared" si="4"/>
        <v>428132.39068930037</v>
      </c>
      <c r="R10" s="30">
        <f t="shared" si="4"/>
        <v>590959.45580418373</v>
      </c>
      <c r="S10" s="30">
        <f t="shared" si="4"/>
        <v>610529.365104881</v>
      </c>
      <c r="T10" s="30">
        <f t="shared" si="4"/>
        <v>335882.87040013896</v>
      </c>
      <c r="U10" s="30">
        <f t="shared" si="4"/>
        <v>192474.78398534728</v>
      </c>
      <c r="V10" s="30">
        <f t="shared" si="4"/>
        <v>-16467.466523267649</v>
      </c>
      <c r="W10" s="30">
        <f t="shared" si="4"/>
        <v>149500.23324343059</v>
      </c>
      <c r="X10" s="30">
        <f t="shared" si="4"/>
        <v>-137705.12633088112</v>
      </c>
      <c r="Y10" s="15"/>
    </row>
    <row r="11" spans="2:25" x14ac:dyDescent="0.3">
      <c r="C11" s="31" t="s">
        <v>53</v>
      </c>
      <c r="D11" s="28"/>
      <c r="E11" s="30">
        <f>E59</f>
        <v>-135370</v>
      </c>
      <c r="F11" s="30">
        <f t="shared" ref="F11:W11" si="5">F59</f>
        <v>-36120</v>
      </c>
      <c r="G11" s="30">
        <f t="shared" si="5"/>
        <v>65020</v>
      </c>
      <c r="H11" s="30">
        <f t="shared" si="5"/>
        <v>-195750</v>
      </c>
      <c r="I11" s="30">
        <f t="shared" si="5"/>
        <v>281900</v>
      </c>
      <c r="J11" s="30">
        <f t="shared" si="5"/>
        <v>-110100</v>
      </c>
      <c r="K11" s="30">
        <f t="shared" si="5"/>
        <v>-106220</v>
      </c>
      <c r="L11" s="30">
        <f t="shared" si="5"/>
        <v>51268.333333333328</v>
      </c>
      <c r="M11" s="30">
        <f t="shared" si="5"/>
        <v>328923.05555555556</v>
      </c>
      <c r="N11" s="30">
        <f t="shared" si="5"/>
        <v>21996.898148148139</v>
      </c>
      <c r="O11" s="30">
        <f t="shared" si="5"/>
        <v>-25001.952160493827</v>
      </c>
      <c r="P11" s="30">
        <f t="shared" si="5"/>
        <v>-57993.944187242814</v>
      </c>
      <c r="Q11" s="30">
        <f t="shared" si="5"/>
        <v>162827.06511488339</v>
      </c>
      <c r="R11" s="30">
        <f t="shared" si="5"/>
        <v>19569.909300697291</v>
      </c>
      <c r="S11" s="30">
        <f t="shared" si="5"/>
        <v>-274646.49470474204</v>
      </c>
      <c r="T11" s="30">
        <f t="shared" si="5"/>
        <v>-143408.08641479167</v>
      </c>
      <c r="U11" s="30">
        <f t="shared" si="5"/>
        <v>-208942.25050861493</v>
      </c>
      <c r="V11" s="30">
        <f t="shared" si="5"/>
        <v>165967.69976669824</v>
      </c>
      <c r="W11" s="30">
        <f t="shared" si="5"/>
        <v>-287205.3595743117</v>
      </c>
      <c r="X11" s="30">
        <f t="shared" ref="X11" si="6">X59</f>
        <v>-59244.097022510789</v>
      </c>
      <c r="Y11" s="15"/>
    </row>
    <row r="12" spans="2:25" x14ac:dyDescent="0.3">
      <c r="B12" s="4" t="s">
        <v>54</v>
      </c>
      <c r="C12" s="32" t="s">
        <v>54</v>
      </c>
      <c r="D12" s="33"/>
      <c r="E12" s="34">
        <f t="shared" ref="E12:V12" si="7">SUM(E10:E11)</f>
        <v>210210</v>
      </c>
      <c r="F12" s="34">
        <f t="shared" si="7"/>
        <v>174090</v>
      </c>
      <c r="G12" s="34">
        <f t="shared" si="7"/>
        <v>239110</v>
      </c>
      <c r="H12" s="34">
        <f t="shared" si="7"/>
        <v>43360</v>
      </c>
      <c r="I12" s="34">
        <f t="shared" si="7"/>
        <v>325260</v>
      </c>
      <c r="J12" s="34">
        <f t="shared" si="7"/>
        <v>215160</v>
      </c>
      <c r="K12" s="34">
        <f t="shared" si="7"/>
        <v>108940</v>
      </c>
      <c r="L12" s="34">
        <f t="shared" si="7"/>
        <v>160208.33333333331</v>
      </c>
      <c r="M12" s="34">
        <f t="shared" si="7"/>
        <v>489131.38888888888</v>
      </c>
      <c r="N12" s="34">
        <f t="shared" si="7"/>
        <v>511128.28703703702</v>
      </c>
      <c r="O12" s="34">
        <f t="shared" si="7"/>
        <v>486126.3348765432</v>
      </c>
      <c r="P12" s="34">
        <f t="shared" si="7"/>
        <v>428132.39068930037</v>
      </c>
      <c r="Q12" s="34">
        <f t="shared" si="7"/>
        <v>590959.45580418373</v>
      </c>
      <c r="R12" s="34">
        <f t="shared" si="7"/>
        <v>610529.365104881</v>
      </c>
      <c r="S12" s="34">
        <f t="shared" si="7"/>
        <v>335882.87040013896</v>
      </c>
      <c r="T12" s="34">
        <f t="shared" si="7"/>
        <v>192474.78398534728</v>
      </c>
      <c r="U12" s="34">
        <f t="shared" si="7"/>
        <v>-16467.466523267649</v>
      </c>
      <c r="V12" s="34">
        <f t="shared" si="7"/>
        <v>149500.23324343059</v>
      </c>
      <c r="W12" s="34">
        <f t="shared" ref="W12:X12" si="8">SUM(W10:W11)</f>
        <v>-137705.12633088112</v>
      </c>
      <c r="X12" s="34">
        <f t="shared" si="8"/>
        <v>-196949.22335339192</v>
      </c>
      <c r="Y12" s="15"/>
    </row>
    <row r="13" spans="2:25" x14ac:dyDescent="0.3">
      <c r="C13" s="27" t="s">
        <v>55</v>
      </c>
      <c r="D13" s="28"/>
      <c r="E13" s="29">
        <v>210210</v>
      </c>
      <c r="F13" s="29">
        <v>174090</v>
      </c>
      <c r="G13" s="29">
        <v>239110</v>
      </c>
      <c r="H13" s="29">
        <v>43360</v>
      </c>
      <c r="I13" s="29">
        <v>325260</v>
      </c>
      <c r="J13" s="29">
        <v>215160</v>
      </c>
      <c r="K13" s="29">
        <v>108940</v>
      </c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15"/>
    </row>
    <row r="14" spans="2:25" x14ac:dyDescent="0.3">
      <c r="C14" s="27" t="s">
        <v>56</v>
      </c>
      <c r="D14" s="28"/>
      <c r="E14" s="35">
        <f>IF(E$4="Forecast",0,E13-E12)</f>
        <v>0</v>
      </c>
      <c r="F14" s="35">
        <f t="shared" ref="F14:W14" si="9">IF(F$4="Forecast",0,F13-F12)</f>
        <v>0</v>
      </c>
      <c r="G14" s="35">
        <f t="shared" si="9"/>
        <v>0</v>
      </c>
      <c r="H14" s="35">
        <f t="shared" si="9"/>
        <v>0</v>
      </c>
      <c r="I14" s="35">
        <f t="shared" si="9"/>
        <v>0</v>
      </c>
      <c r="J14" s="35">
        <f t="shared" si="9"/>
        <v>0</v>
      </c>
      <c r="K14" s="35">
        <f t="shared" si="9"/>
        <v>0</v>
      </c>
      <c r="L14" s="35">
        <f t="shared" si="9"/>
        <v>0</v>
      </c>
      <c r="M14" s="35">
        <f t="shared" si="9"/>
        <v>0</v>
      </c>
      <c r="N14" s="35">
        <f t="shared" si="9"/>
        <v>0</v>
      </c>
      <c r="O14" s="35">
        <f t="shared" si="9"/>
        <v>0</v>
      </c>
      <c r="P14" s="35">
        <f t="shared" si="9"/>
        <v>0</v>
      </c>
      <c r="Q14" s="35">
        <f t="shared" si="9"/>
        <v>0</v>
      </c>
      <c r="R14" s="35">
        <f t="shared" si="9"/>
        <v>0</v>
      </c>
      <c r="S14" s="35">
        <f t="shared" si="9"/>
        <v>0</v>
      </c>
      <c r="T14" s="35">
        <f t="shared" si="9"/>
        <v>0</v>
      </c>
      <c r="U14" s="35">
        <f t="shared" si="9"/>
        <v>0</v>
      </c>
      <c r="V14" s="35">
        <f t="shared" si="9"/>
        <v>0</v>
      </c>
      <c r="W14" s="35">
        <f t="shared" si="9"/>
        <v>0</v>
      </c>
      <c r="X14" s="35">
        <f t="shared" ref="X14" si="10">IF(X$4="Forecast",0,X13-X12)</f>
        <v>0</v>
      </c>
      <c r="Y14" s="15"/>
    </row>
    <row r="15" spans="2:25" x14ac:dyDescent="0.3">
      <c r="C15" s="27" t="s">
        <v>57</v>
      </c>
      <c r="D15" s="28"/>
      <c r="E15" s="36">
        <v>210210</v>
      </c>
      <c r="F15" s="36">
        <v>174090</v>
      </c>
      <c r="G15" s="36">
        <v>239110</v>
      </c>
      <c r="H15" s="36">
        <v>43360</v>
      </c>
      <c r="I15" s="36">
        <v>325260</v>
      </c>
      <c r="J15" s="36">
        <v>215160</v>
      </c>
      <c r="K15" s="36">
        <v>112041.66666666667</v>
      </c>
      <c r="L15" s="36">
        <v>156995.27777777778</v>
      </c>
      <c r="M15" s="36">
        <v>399451.15740740742</v>
      </c>
      <c r="N15" s="36">
        <v>415303.01697530865</v>
      </c>
      <c r="O15" s="36">
        <v>382731.85313786007</v>
      </c>
      <c r="P15" s="36">
        <v>316373.82866083673</v>
      </c>
      <c r="Q15" s="36">
        <v>519442.80010430957</v>
      </c>
      <c r="R15" s="36">
        <v>532142.98901058338</v>
      </c>
      <c r="S15" s="36">
        <v>472334.27421605098</v>
      </c>
      <c r="T15" s="36">
        <v>279031.46035082493</v>
      </c>
      <c r="U15" s="36">
        <v>412252.86758007761</v>
      </c>
      <c r="V15" s="36">
        <v>580273.03665378049</v>
      </c>
      <c r="W15" s="36">
        <v>291189.57131927111</v>
      </c>
      <c r="X15" s="36"/>
      <c r="Y15" s="15"/>
    </row>
    <row r="16" spans="2:25" x14ac:dyDescent="0.3">
      <c r="D16" s="28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15"/>
    </row>
    <row r="17" spans="2:25" ht="14.5" x14ac:dyDescent="0.45">
      <c r="C17" s="20" t="s">
        <v>58</v>
      </c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15"/>
    </row>
    <row r="18" spans="2:25" x14ac:dyDescent="0.3">
      <c r="B18" s="4" t="s">
        <v>59</v>
      </c>
      <c r="C18" s="27" t="s">
        <v>59</v>
      </c>
      <c r="D18" s="28" t="s">
        <v>233</v>
      </c>
      <c r="E18" s="39">
        <f>SUMIFS(Actuals!$I:$I,Actuals!$A:$A,E$7,Actuals!$C:$C,$C18)</f>
        <v>0</v>
      </c>
      <c r="F18" s="39">
        <f>SUMIFS(Actuals!$I:$I,Actuals!$A:$A,F$7,Actuals!$C:$C,$C18)</f>
        <v>372100</v>
      </c>
      <c r="G18" s="39">
        <f>SUMIFS(Actuals!$I:$I,Actuals!$A:$A,G$7,Actuals!$C:$C,$C18)</f>
        <v>210150</v>
      </c>
      <c r="H18" s="39">
        <f>SUMIFS(Actuals!$I:$I,Actuals!$A:$A,H$7,Actuals!$C:$C,$C18)</f>
        <v>0</v>
      </c>
      <c r="I18" s="39">
        <f>SUMIFS(Actuals!$I:$I,Actuals!$A:$A,I$7,Actuals!$C:$C,$C18)</f>
        <v>361430</v>
      </c>
      <c r="J18" s="39">
        <f>SUMIFS(Actuals!$I:$I,Actuals!$A:$A,J$7,Actuals!$C:$C,$C18)</f>
        <v>68440</v>
      </c>
      <c r="K18" s="39">
        <f>SUMIFS(Actuals!$I:$I,Actuals!$A:$A,K$7,Actuals!$C:$C,$C18)</f>
        <v>389470</v>
      </c>
      <c r="L18" s="69">
        <f>SUMIFS('AR Aging 02'!$B:$B,'AR Aging 02'!$A:$A,L$7)</f>
        <v>120000</v>
      </c>
      <c r="M18" s="69">
        <f>SUMIFS('AR Aging 02'!$B:$B,'AR Aging 02'!$A:$A,M$7)</f>
        <v>554000</v>
      </c>
      <c r="N18" s="69">
        <f>SUMIFS('AR Aging 02'!$B:$B,'AR Aging 02'!$A:$A,N$7)</f>
        <v>80000</v>
      </c>
      <c r="O18" s="69">
        <f>SUMIFS('AR Aging 02'!$B:$B,'AR Aging 02'!$A:$A,O$7)</f>
        <v>198400</v>
      </c>
      <c r="P18" s="69">
        <f>SUMIFS('AR Aging 02'!$B:$B,'AR Aging 02'!$A:$A,P$7)</f>
        <v>0</v>
      </c>
      <c r="Q18" s="69">
        <f>SUMIFS('AR Aging 02'!$B:$B,'AR Aging 02'!$A:$A,Q$7)</f>
        <v>271800</v>
      </c>
      <c r="R18" s="69">
        <f>SUMIFS('AR Aging 02'!$B:$B,'AR Aging 02'!$A:$A,R$7)</f>
        <v>80000</v>
      </c>
      <c r="S18" s="69">
        <f>SUMIFS('AR Aging 02'!$B:$B,'AR Aging 02'!$A:$A,S$7)</f>
        <v>0</v>
      </c>
      <c r="T18" s="69">
        <f>SUMIFS('AR Aging 02'!$B:$B,'AR Aging 02'!$A:$A,T$7)</f>
        <v>48000</v>
      </c>
      <c r="U18" s="69">
        <f>SUMIFS('AR Aging 02'!$B:$B,'AR Aging 02'!$A:$A,U$7)</f>
        <v>0</v>
      </c>
      <c r="V18" s="69">
        <f>SUMIFS('AR Aging 02'!$B:$B,'AR Aging 02'!$A:$A,V$7)</f>
        <v>325000</v>
      </c>
      <c r="W18" s="69">
        <f>SUMIFS('AR Aging 02'!$B:$B,'AR Aging 02'!$A:$A,W$7)</f>
        <v>0</v>
      </c>
      <c r="X18" s="69">
        <f>SUMIFS('AR Aging 02'!$B:$B,'AR Aging 02'!$A:$A,X$7)</f>
        <v>0</v>
      </c>
      <c r="Y18" s="15"/>
    </row>
    <row r="19" spans="2:25" x14ac:dyDescent="0.3">
      <c r="B19" s="4" t="s">
        <v>59</v>
      </c>
      <c r="C19" s="27" t="s">
        <v>60</v>
      </c>
      <c r="D19" s="28" t="s">
        <v>61</v>
      </c>
      <c r="E19" s="39">
        <f>SUMIFS(Actuals!$I:$I,Actuals!$A:$A,E$7,Actuals!$C:$C,$C19)</f>
        <v>0</v>
      </c>
      <c r="F19" s="39">
        <f>SUMIFS(Actuals!$I:$I,Actuals!$A:$A,F$7,Actuals!$C:$C,$C19)</f>
        <v>0</v>
      </c>
      <c r="G19" s="39">
        <f>SUMIFS(Actuals!$I:$I,Actuals!$A:$A,G$7,Actuals!$C:$C,$C19)</f>
        <v>0</v>
      </c>
      <c r="H19" s="39">
        <f>SUMIFS(Actuals!$I:$I,Actuals!$A:$A,H$7,Actuals!$C:$C,$C19)</f>
        <v>0</v>
      </c>
      <c r="I19" s="39">
        <f>SUMIFS(Actuals!$I:$I,Actuals!$A:$A,I$7,Actuals!$C:$C,$C19)</f>
        <v>0</v>
      </c>
      <c r="J19" s="39">
        <f>SUMIFS(Actuals!$I:$I,Actuals!$A:$A,J$7,Actuals!$C:$C,$C19)</f>
        <v>0</v>
      </c>
      <c r="K19" s="39">
        <f>SUMIFS(Actuals!$I:$I,Actuals!$A:$A,K$7,Actuals!$C:$C,$C19)</f>
        <v>0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15"/>
    </row>
    <row r="20" spans="2:25" x14ac:dyDescent="0.3">
      <c r="C20" s="27"/>
      <c r="D20" s="28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15"/>
    </row>
    <row r="21" spans="2:25" x14ac:dyDescent="0.3">
      <c r="C21" s="40" t="s">
        <v>62</v>
      </c>
      <c r="D21" s="41"/>
      <c r="E21" s="42">
        <f t="shared" ref="E21:W21" si="11">SUM(E18:E20)</f>
        <v>0</v>
      </c>
      <c r="F21" s="42">
        <f t="shared" si="11"/>
        <v>372100</v>
      </c>
      <c r="G21" s="42">
        <f t="shared" si="11"/>
        <v>210150</v>
      </c>
      <c r="H21" s="42">
        <f t="shared" si="11"/>
        <v>0</v>
      </c>
      <c r="I21" s="42">
        <f t="shared" si="11"/>
        <v>361430</v>
      </c>
      <c r="J21" s="42">
        <f t="shared" si="11"/>
        <v>68440</v>
      </c>
      <c r="K21" s="42">
        <f t="shared" si="11"/>
        <v>389470</v>
      </c>
      <c r="L21" s="42">
        <f t="shared" si="11"/>
        <v>120000</v>
      </c>
      <c r="M21" s="42">
        <f t="shared" si="11"/>
        <v>554000</v>
      </c>
      <c r="N21" s="42">
        <f t="shared" si="11"/>
        <v>80000</v>
      </c>
      <c r="O21" s="42">
        <f t="shared" si="11"/>
        <v>198400</v>
      </c>
      <c r="P21" s="42">
        <f t="shared" si="11"/>
        <v>0</v>
      </c>
      <c r="Q21" s="42">
        <f t="shared" si="11"/>
        <v>271800</v>
      </c>
      <c r="R21" s="42">
        <f t="shared" si="11"/>
        <v>80000</v>
      </c>
      <c r="S21" s="42">
        <f t="shared" si="11"/>
        <v>0</v>
      </c>
      <c r="T21" s="42">
        <f t="shared" si="11"/>
        <v>48000</v>
      </c>
      <c r="U21" s="42">
        <f t="shared" si="11"/>
        <v>0</v>
      </c>
      <c r="V21" s="42">
        <f t="shared" si="11"/>
        <v>325000</v>
      </c>
      <c r="W21" s="42">
        <f t="shared" si="11"/>
        <v>0</v>
      </c>
      <c r="X21" s="42">
        <f t="shared" ref="X21" si="12">SUM(X18:X20)</f>
        <v>0</v>
      </c>
      <c r="Y21" s="15"/>
    </row>
    <row r="22" spans="2:25" x14ac:dyDescent="0.3">
      <c r="D22" s="2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15"/>
    </row>
    <row r="23" spans="2:25" ht="14.5" x14ac:dyDescent="0.45">
      <c r="C23" s="20" t="s">
        <v>63</v>
      </c>
      <c r="D23" s="37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15"/>
    </row>
    <row r="24" spans="2:25" x14ac:dyDescent="0.3">
      <c r="B24" s="4" t="s">
        <v>64</v>
      </c>
      <c r="C24" s="27" t="s">
        <v>64</v>
      </c>
      <c r="D24" s="70" t="s">
        <v>234</v>
      </c>
      <c r="E24" s="39">
        <f>SUMIFS(Actuals!$I:$I,Actuals!$A:$A,E$7,Actuals!$C:$C,$C24)</f>
        <v>-33620</v>
      </c>
      <c r="F24" s="39">
        <f>SUMIFS(Actuals!$I:$I,Actuals!$A:$A,F$7,Actuals!$C:$C,$C24)</f>
        <v>-83210</v>
      </c>
      <c r="G24" s="39">
        <f>SUMIFS(Actuals!$I:$I,Actuals!$A:$A,G$7,Actuals!$C:$C,$C24)</f>
        <v>-69810</v>
      </c>
      <c r="H24" s="39">
        <f>SUMIFS(Actuals!$I:$I,Actuals!$A:$A,H$7,Actuals!$C:$C,$C24)</f>
        <v>-40140</v>
      </c>
      <c r="I24" s="39">
        <f>SUMIFS(Actuals!$I:$I,Actuals!$A:$A,I$7,Actuals!$C:$C,$C24)</f>
        <v>-18680</v>
      </c>
      <c r="J24" s="39">
        <f>SUMIFS(Actuals!$I:$I,Actuals!$A:$A,J$7,Actuals!$C:$C,$C24)</f>
        <v>-88580</v>
      </c>
      <c r="K24" s="39">
        <f>SUMIFS(Actuals!$I:$I,Actuals!$A:$A,K$7,Actuals!$C:$C,$C24)</f>
        <v>-89740</v>
      </c>
      <c r="L24" s="69">
        <f>-SUMIFS('AP Aging 02'!$B:$B,'AP Aging 02'!$A:$A,L$7,'AP Aging 02'!$D:$D,"&lt;&gt;Yes")</f>
        <v>0</v>
      </c>
      <c r="M24" s="69">
        <f>-SUMIFS('AP Aging 02'!$B:$B,'AP Aging 02'!$A:$A,M$7,'AP Aging 02'!$D:$D,"&lt;&gt;Yes")</f>
        <v>-164600</v>
      </c>
      <c r="N24" s="69">
        <f>-SUMIFS('AP Aging 02'!$B:$B,'AP Aging 02'!$A:$A,N$7,'AP Aging 02'!$D:$D,"&lt;&gt;Yes")</f>
        <v>0</v>
      </c>
      <c r="O24" s="69">
        <f>-SUMIFS('AP Aging 02'!$B:$B,'AP Aging 02'!$A:$A,O$7,'AP Aging 02'!$D:$D,"&lt;&gt;Yes")</f>
        <v>0</v>
      </c>
      <c r="P24" s="69">
        <f>-SUMIFS('AP Aging 02'!$B:$B,'AP Aging 02'!$A:$A,P$7,'AP Aging 02'!$D:$D,"&lt;&gt;Yes")</f>
        <v>0</v>
      </c>
      <c r="Q24" s="69">
        <f>-SUMIFS('AP Aging 02'!$B:$B,'AP Aging 02'!$A:$A,Q$7,'AP Aging 02'!$D:$D,"&lt;&gt;Yes")</f>
        <v>-50000</v>
      </c>
      <c r="R24" s="69">
        <f>-SUMIFS('AP Aging 02'!$B:$B,'AP Aging 02'!$A:$A,R$7,'AP Aging 02'!$D:$D,"&lt;&gt;Yes")</f>
        <v>0</v>
      </c>
      <c r="S24" s="69">
        <f>-SUMIFS('AP Aging 02'!$B:$B,'AP Aging 02'!$A:$A,S$7,'AP Aging 02'!$D:$D,"&lt;&gt;Yes")</f>
        <v>0</v>
      </c>
      <c r="T24" s="69">
        <f>-SUMIFS('AP Aging 02'!$B:$B,'AP Aging 02'!$A:$A,T$7,'AP Aging 02'!$D:$D,"&lt;&gt;Yes")</f>
        <v>-132600</v>
      </c>
      <c r="U24" s="69">
        <f>-SUMIFS('AP Aging 02'!$B:$B,'AP Aging 02'!$A:$A,U$7,'AP Aging 02'!$D:$D,"&lt;&gt;Yes")</f>
        <v>-150000</v>
      </c>
      <c r="V24" s="69">
        <f>-SUMIFS('AP Aging 02'!$B:$B,'AP Aging 02'!$A:$A,V$7,'AP Aging 02'!$D:$D,"&lt;&gt;Yes")</f>
        <v>-100000</v>
      </c>
      <c r="W24" s="69">
        <f>-SUMIFS('AP Aging 02'!$B:$B,'AP Aging 02'!$A:$A,W$7,'AP Aging 02'!$D:$D,"&lt;&gt;Yes")</f>
        <v>0</v>
      </c>
      <c r="X24" s="69">
        <f>-SUMIFS('AP Aging 02'!$B:$B,'AP Aging 02'!$A:$A,X$7,'AP Aging 02'!$D:$D,"&lt;&gt;Yes")</f>
        <v>0</v>
      </c>
      <c r="Y24" s="15"/>
    </row>
    <row r="25" spans="2:25" x14ac:dyDescent="0.3">
      <c r="B25" s="4" t="s">
        <v>65</v>
      </c>
      <c r="C25" s="27" t="s">
        <v>65</v>
      </c>
      <c r="D25" s="70" t="s">
        <v>234</v>
      </c>
      <c r="E25" s="39">
        <f>SUMIFS(Actuals!$I:$I,Actuals!$A:$A,E$7,Actuals!$C:$C,$C25)</f>
        <v>0</v>
      </c>
      <c r="F25" s="39">
        <f>SUMIFS(Actuals!$I:$I,Actuals!$A:$A,F$7,Actuals!$C:$C,$C25)</f>
        <v>-194090</v>
      </c>
      <c r="G25" s="39">
        <f>SUMIFS(Actuals!$I:$I,Actuals!$A:$A,G$7,Actuals!$C:$C,$C25)</f>
        <v>0</v>
      </c>
      <c r="H25" s="39">
        <f>SUMIFS(Actuals!$I:$I,Actuals!$A:$A,H$7,Actuals!$C:$C,$C25)</f>
        <v>-100000</v>
      </c>
      <c r="I25" s="39">
        <f>SUMIFS(Actuals!$I:$I,Actuals!$A:$A,I$7,Actuals!$C:$C,$C25)</f>
        <v>0</v>
      </c>
      <c r="J25" s="39">
        <f>SUMIFS(Actuals!$I:$I,Actuals!$A:$A,J$7,Actuals!$C:$C,$C25)</f>
        <v>-32000</v>
      </c>
      <c r="K25" s="39">
        <f>SUMIFS(Actuals!$I:$I,Actuals!$A:$A,K$7,Actuals!$C:$C,$C25)</f>
        <v>-350210</v>
      </c>
      <c r="L25" s="69">
        <f>-SUMIFS('AP Aging 02'!$B:$B,'AP Aging 02'!$A:$A,L$7,'AP Aging 02'!$D:$D,"Yes")</f>
        <v>0</v>
      </c>
      <c r="M25" s="69">
        <f>-SUMIFS('AP Aging 02'!$B:$B,'AP Aging 02'!$A:$A,M$7,'AP Aging 02'!$D:$D,"Yes")</f>
        <v>0</v>
      </c>
      <c r="N25" s="69">
        <f>-SUMIFS('AP Aging 02'!$B:$B,'AP Aging 02'!$A:$A,N$7,'AP Aging 02'!$D:$D,"Yes")</f>
        <v>0</v>
      </c>
      <c r="O25" s="69">
        <f>-SUMIFS('AP Aging 02'!$B:$B,'AP Aging 02'!$A:$A,O$7,'AP Aging 02'!$D:$D,"Yes")</f>
        <v>-153000</v>
      </c>
      <c r="P25" s="69">
        <f>-SUMIFS('AP Aging 02'!$B:$B,'AP Aging 02'!$A:$A,P$7,'AP Aging 02'!$D:$D,"Yes")</f>
        <v>0</v>
      </c>
      <c r="Q25" s="69">
        <f>-SUMIFS('AP Aging 02'!$B:$B,'AP Aging 02'!$A:$A,Q$7,'AP Aging 02'!$D:$D,"Yes")</f>
        <v>0</v>
      </c>
      <c r="R25" s="69">
        <f>-SUMIFS('AP Aging 02'!$B:$B,'AP Aging 02'!$A:$A,R$7,'AP Aging 02'!$D:$D,"Yes")</f>
        <v>0</v>
      </c>
      <c r="S25" s="69">
        <f>-SUMIFS('AP Aging 02'!$B:$B,'AP Aging 02'!$A:$A,S$7,'AP Aging 02'!$D:$D,"Yes")</f>
        <v>-203600</v>
      </c>
      <c r="T25" s="69">
        <f>-SUMIFS('AP Aging 02'!$B:$B,'AP Aging 02'!$A:$A,T$7,'AP Aging 02'!$D:$D,"Yes")</f>
        <v>0</v>
      </c>
      <c r="U25" s="69">
        <f>-SUMIFS('AP Aging 02'!$B:$B,'AP Aging 02'!$A:$A,U$7,'AP Aging 02'!$D:$D,"Yes")</f>
        <v>0</v>
      </c>
      <c r="V25" s="69">
        <f>-SUMIFS('AP Aging 02'!$B:$B,'AP Aging 02'!$A:$A,V$7,'AP Aging 02'!$D:$D,"Yes")</f>
        <v>0</v>
      </c>
      <c r="W25" s="69">
        <f>-SUMIFS('AP Aging 02'!$B:$B,'AP Aging 02'!$A:$A,W$7,'AP Aging 02'!$D:$D,"Yes")</f>
        <v>-216000</v>
      </c>
      <c r="X25" s="69">
        <f>-SUMIFS('AP Aging 02'!$B:$B,'AP Aging 02'!$A:$A,X$7,'AP Aging 02'!$D:$D,"Yes")</f>
        <v>0</v>
      </c>
      <c r="Y25" s="15"/>
    </row>
    <row r="26" spans="2:25" x14ac:dyDescent="0.3">
      <c r="B26" s="4" t="s">
        <v>266</v>
      </c>
      <c r="C26" s="27" t="s">
        <v>66</v>
      </c>
      <c r="D26" s="28" t="s">
        <v>67</v>
      </c>
      <c r="E26" s="39">
        <f>SUMIFS(Actuals!$I:$I,Actuals!$A:$A,E$7,Actuals!$C:$C,$C26)</f>
        <v>-77830</v>
      </c>
      <c r="F26" s="39">
        <f>SUMIFS(Actuals!$I:$I,Actuals!$A:$A,F$7,Actuals!$C:$C,$C26)</f>
        <v>-78050</v>
      </c>
      <c r="G26" s="39">
        <f>SUMIFS(Actuals!$I:$I,Actuals!$A:$A,G$7,Actuals!$C:$C,$C26)</f>
        <v>-51670</v>
      </c>
      <c r="H26" s="39">
        <f>SUMIFS(Actuals!$I:$I,Actuals!$A:$A,H$7,Actuals!$C:$C,$C26)</f>
        <v>-39960</v>
      </c>
      <c r="I26" s="39">
        <f>SUMIFS(Actuals!$I:$I,Actuals!$A:$A,I$7,Actuals!$C:$C,$C26)</f>
        <v>-44380</v>
      </c>
      <c r="J26" s="39">
        <f>SUMIFS(Actuals!$I:$I,Actuals!$A:$A,J$7,Actuals!$C:$C,$C26)</f>
        <v>-35340</v>
      </c>
      <c r="K26" s="39">
        <f>SUMIFS(Actuals!$I:$I,Actuals!$A:$A,K$7,Actuals!$C:$C,$C26)</f>
        <v>-35660</v>
      </c>
      <c r="L26" s="71">
        <f t="shared" ref="L26:X26" si="13">AVERAGE(F26:K26)</f>
        <v>-47510</v>
      </c>
      <c r="M26" s="71">
        <f t="shared" si="13"/>
        <v>-42420</v>
      </c>
      <c r="N26" s="71">
        <f t="shared" si="13"/>
        <v>-40878.333333333336</v>
      </c>
      <c r="O26" s="71">
        <f t="shared" si="13"/>
        <v>-41031.388888888891</v>
      </c>
      <c r="P26" s="71">
        <f t="shared" si="13"/>
        <v>-40473.287037037044</v>
      </c>
      <c r="Q26" s="71">
        <f t="shared" si="13"/>
        <v>-41328.834876543217</v>
      </c>
      <c r="R26" s="71">
        <f t="shared" si="13"/>
        <v>-42273.640689300424</v>
      </c>
      <c r="S26" s="71">
        <f t="shared" si="13"/>
        <v>-41400.914137517153</v>
      </c>
      <c r="T26" s="71">
        <f t="shared" si="13"/>
        <v>-41231.066493770013</v>
      </c>
      <c r="U26" s="71">
        <f t="shared" si="13"/>
        <v>-41289.855353842788</v>
      </c>
      <c r="V26" s="71">
        <f t="shared" si="13"/>
        <v>-41332.933098001777</v>
      </c>
      <c r="W26" s="71">
        <f t="shared" si="13"/>
        <v>-41476.207441495899</v>
      </c>
      <c r="X26" s="71">
        <f t="shared" si="13"/>
        <v>-41500.769535654676</v>
      </c>
      <c r="Y26" s="15"/>
    </row>
    <row r="27" spans="2:25" x14ac:dyDescent="0.3">
      <c r="B27" s="4" t="s">
        <v>266</v>
      </c>
      <c r="C27" s="27" t="s">
        <v>68</v>
      </c>
      <c r="D27" s="28" t="s">
        <v>61</v>
      </c>
      <c r="E27" s="39">
        <f>SUMIFS(Actuals!$I:$I,Actuals!$A:$A,E$7,Actuals!$C:$C,$C27)</f>
        <v>0</v>
      </c>
      <c r="F27" s="39">
        <f>SUMIFS(Actuals!$I:$I,Actuals!$A:$A,F$7,Actuals!$C:$C,$C27)</f>
        <v>0</v>
      </c>
      <c r="G27" s="39">
        <f>SUMIFS(Actuals!$I:$I,Actuals!$A:$A,G$7,Actuals!$C:$C,$C27)</f>
        <v>0</v>
      </c>
      <c r="H27" s="39">
        <f>SUMIFS(Actuals!$I:$I,Actuals!$A:$A,H$7,Actuals!$C:$C,$C27)</f>
        <v>0</v>
      </c>
      <c r="I27" s="39">
        <f>SUMIFS(Actuals!$I:$I,Actuals!$A:$A,I$7,Actuals!$C:$C,$C27)</f>
        <v>0</v>
      </c>
      <c r="J27" s="39">
        <f>SUMIFS(Actuals!$I:$I,Actuals!$A:$A,J$7,Actuals!$C:$C,$C27)</f>
        <v>0</v>
      </c>
      <c r="K27" s="39">
        <f>SUMIFS(Actuals!$I:$I,Actuals!$A:$A,K$7,Actuals!$C:$C,$C27)</f>
        <v>0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15"/>
    </row>
    <row r="28" spans="2:25" x14ac:dyDescent="0.3">
      <c r="B28" s="4" t="s">
        <v>266</v>
      </c>
      <c r="C28" s="27" t="s">
        <v>69</v>
      </c>
      <c r="D28" s="28" t="s">
        <v>67</v>
      </c>
      <c r="E28" s="39">
        <f>SUMIFS(Actuals!$I:$I,Actuals!$A:$A,E$7,Actuals!$C:$C,$C28)</f>
        <v>-310</v>
      </c>
      <c r="F28" s="39">
        <f>SUMIFS(Actuals!$I:$I,Actuals!$A:$A,F$7,Actuals!$C:$C,$C28)</f>
        <v>-310</v>
      </c>
      <c r="G28" s="39">
        <f>SUMIFS(Actuals!$I:$I,Actuals!$A:$A,G$7,Actuals!$C:$C,$C28)</f>
        <v>-310</v>
      </c>
      <c r="H28" s="39">
        <f>SUMIFS(Actuals!$I:$I,Actuals!$A:$A,H$7,Actuals!$C:$C,$C28)</f>
        <v>-310</v>
      </c>
      <c r="I28" s="39">
        <f>SUMIFS(Actuals!$I:$I,Actuals!$A:$A,I$7,Actuals!$C:$C,$C28)</f>
        <v>-310</v>
      </c>
      <c r="J28" s="39">
        <f>SUMIFS(Actuals!$I:$I,Actuals!$A:$A,J$7,Actuals!$C:$C,$C28)</f>
        <v>-310</v>
      </c>
      <c r="K28" s="39">
        <f>SUMIFS(Actuals!$I:$I,Actuals!$A:$A,K$7,Actuals!$C:$C,$C28)</f>
        <v>-310</v>
      </c>
      <c r="L28" s="71">
        <f t="shared" ref="L28:X28" si="14">AVERAGE(F28:K28)</f>
        <v>-310</v>
      </c>
      <c r="M28" s="71">
        <f t="shared" si="14"/>
        <v>-310</v>
      </c>
      <c r="N28" s="71">
        <f t="shared" si="14"/>
        <v>-310</v>
      </c>
      <c r="O28" s="71">
        <f t="shared" si="14"/>
        <v>-310</v>
      </c>
      <c r="P28" s="71">
        <f t="shared" si="14"/>
        <v>-310</v>
      </c>
      <c r="Q28" s="71">
        <f t="shared" si="14"/>
        <v>-310</v>
      </c>
      <c r="R28" s="71">
        <f t="shared" si="14"/>
        <v>-310</v>
      </c>
      <c r="S28" s="71">
        <f t="shared" si="14"/>
        <v>-310</v>
      </c>
      <c r="T28" s="71">
        <f t="shared" si="14"/>
        <v>-310</v>
      </c>
      <c r="U28" s="71">
        <f t="shared" si="14"/>
        <v>-310</v>
      </c>
      <c r="V28" s="71">
        <f t="shared" si="14"/>
        <v>-310</v>
      </c>
      <c r="W28" s="71">
        <f t="shared" si="14"/>
        <v>-310</v>
      </c>
      <c r="X28" s="71">
        <f t="shared" si="14"/>
        <v>-310</v>
      </c>
      <c r="Y28" s="15"/>
    </row>
    <row r="29" spans="2:25" x14ac:dyDescent="0.3">
      <c r="B29" s="4" t="s">
        <v>266</v>
      </c>
      <c r="C29" s="27" t="s">
        <v>70</v>
      </c>
      <c r="D29" s="28" t="s">
        <v>61</v>
      </c>
      <c r="E29" s="39">
        <f>SUMIFS(Actuals!$I:$I,Actuals!$A:$A,E$7,Actuals!$C:$C,$C29)</f>
        <v>0</v>
      </c>
      <c r="F29" s="39">
        <f>SUMIFS(Actuals!$I:$I,Actuals!$A:$A,F$7,Actuals!$C:$C,$C29)</f>
        <v>0</v>
      </c>
      <c r="G29" s="39">
        <f>SUMIFS(Actuals!$I:$I,Actuals!$A:$A,G$7,Actuals!$C:$C,$C29)</f>
        <v>0</v>
      </c>
      <c r="H29" s="39">
        <f>SUMIFS(Actuals!$I:$I,Actuals!$A:$A,H$7,Actuals!$C:$C,$C29)</f>
        <v>0</v>
      </c>
      <c r="I29" s="39">
        <f>SUMIFS(Actuals!$I:$I,Actuals!$A:$A,I$7,Actuals!$C:$C,$C29)</f>
        <v>0</v>
      </c>
      <c r="J29" s="39">
        <f>SUMIFS(Actuals!$I:$I,Actuals!$A:$A,J$7,Actuals!$C:$C,$C29)</f>
        <v>0</v>
      </c>
      <c r="K29" s="39">
        <f>SUMIFS(Actuals!$I:$I,Actuals!$A:$A,K$7,Actuals!$C:$C,$C29)</f>
        <v>0</v>
      </c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15"/>
    </row>
    <row r="30" spans="2:25" x14ac:dyDescent="0.3">
      <c r="B30" s="4" t="s">
        <v>266</v>
      </c>
      <c r="C30" s="27" t="s">
        <v>71</v>
      </c>
      <c r="D30" s="28" t="s">
        <v>67</v>
      </c>
      <c r="E30" s="39">
        <f>SUMIFS(Actuals!$I:$I,Actuals!$A:$A,E$7,Actuals!$C:$C,$C30)</f>
        <v>0</v>
      </c>
      <c r="F30" s="39">
        <f>SUMIFS(Actuals!$I:$I,Actuals!$A:$A,F$7,Actuals!$C:$C,$C30)</f>
        <v>-1350</v>
      </c>
      <c r="G30" s="39">
        <f>SUMIFS(Actuals!$I:$I,Actuals!$A:$A,G$7,Actuals!$C:$C,$C30)</f>
        <v>0</v>
      </c>
      <c r="H30" s="39">
        <f>SUMIFS(Actuals!$I:$I,Actuals!$A:$A,H$7,Actuals!$C:$C,$C30)</f>
        <v>0</v>
      </c>
      <c r="I30" s="39">
        <f>SUMIFS(Actuals!$I:$I,Actuals!$A:$A,I$7,Actuals!$C:$C,$C30)</f>
        <v>-1350</v>
      </c>
      <c r="J30" s="39">
        <f>SUMIFS(Actuals!$I:$I,Actuals!$A:$A,J$7,Actuals!$C:$C,$C30)</f>
        <v>-1350</v>
      </c>
      <c r="K30" s="39">
        <f>SUMIFS(Actuals!$I:$I,Actuals!$A:$A,K$7,Actuals!$C:$C,$C30)</f>
        <v>0</v>
      </c>
      <c r="L30" s="71">
        <f t="shared" ref="L30:X31" si="15">AVERAGE(F30:K30)</f>
        <v>-675</v>
      </c>
      <c r="M30" s="71">
        <f t="shared" si="15"/>
        <v>-562.5</v>
      </c>
      <c r="N30" s="71">
        <f t="shared" si="15"/>
        <v>-656.25</v>
      </c>
      <c r="O30" s="71">
        <f t="shared" si="15"/>
        <v>-765.625</v>
      </c>
      <c r="P30" s="71">
        <f t="shared" si="15"/>
        <v>-668.22916666666663</v>
      </c>
      <c r="Q30" s="71">
        <f t="shared" si="15"/>
        <v>-554.60069444444446</v>
      </c>
      <c r="R30" s="71">
        <f t="shared" si="15"/>
        <v>-647.03414351851848</v>
      </c>
      <c r="S30" s="71">
        <f t="shared" si="15"/>
        <v>-642.37316743827159</v>
      </c>
      <c r="T30" s="71">
        <f t="shared" si="15"/>
        <v>-655.6853620113169</v>
      </c>
      <c r="U30" s="71">
        <f t="shared" si="15"/>
        <v>-655.59125567986973</v>
      </c>
      <c r="V30" s="71">
        <f t="shared" si="15"/>
        <v>-637.2522982931813</v>
      </c>
      <c r="W30" s="71">
        <f t="shared" si="15"/>
        <v>-632.08948689760052</v>
      </c>
      <c r="X30" s="71">
        <f t="shared" si="15"/>
        <v>-645.00428563979312</v>
      </c>
      <c r="Y30" s="15"/>
    </row>
    <row r="31" spans="2:25" x14ac:dyDescent="0.3">
      <c r="B31" s="4" t="s">
        <v>266</v>
      </c>
      <c r="C31" s="27" t="s">
        <v>72</v>
      </c>
      <c r="D31" s="28" t="s">
        <v>67</v>
      </c>
      <c r="E31" s="39">
        <f>SUMIFS(Actuals!$I:$I,Actuals!$A:$A,E$7,Actuals!$C:$C,$C31)</f>
        <v>0</v>
      </c>
      <c r="F31" s="39">
        <f>SUMIFS(Actuals!$I:$I,Actuals!$A:$A,F$7,Actuals!$C:$C,$C31)</f>
        <v>-1510</v>
      </c>
      <c r="G31" s="39">
        <f>SUMIFS(Actuals!$I:$I,Actuals!$A:$A,G$7,Actuals!$C:$C,$C31)</f>
        <v>-1020</v>
      </c>
      <c r="H31" s="39">
        <f>SUMIFS(Actuals!$I:$I,Actuals!$A:$A,H$7,Actuals!$C:$C,$C31)</f>
        <v>0</v>
      </c>
      <c r="I31" s="39">
        <f>SUMIFS(Actuals!$I:$I,Actuals!$A:$A,I$7,Actuals!$C:$C,$C31)</f>
        <v>0</v>
      </c>
      <c r="J31" s="39">
        <f>SUMIFS(Actuals!$I:$I,Actuals!$A:$A,J$7,Actuals!$C:$C,$C31)</f>
        <v>-1510</v>
      </c>
      <c r="K31" s="39">
        <f>SUMIFS(Actuals!$I:$I,Actuals!$A:$A,K$7,Actuals!$C:$C,$C31)</f>
        <v>0</v>
      </c>
      <c r="L31" s="71">
        <f t="shared" si="15"/>
        <v>-673.33333333333337</v>
      </c>
      <c r="M31" s="71">
        <f t="shared" si="15"/>
        <v>-533.88888888888891</v>
      </c>
      <c r="N31" s="71">
        <f t="shared" si="15"/>
        <v>-452.87037037037044</v>
      </c>
      <c r="O31" s="71">
        <f t="shared" si="15"/>
        <v>-528.34876543209884</v>
      </c>
      <c r="P31" s="71">
        <f t="shared" si="15"/>
        <v>-616.40689300411532</v>
      </c>
      <c r="Q31" s="71">
        <f t="shared" si="15"/>
        <v>-467.47470850480113</v>
      </c>
      <c r="R31" s="71">
        <f t="shared" si="15"/>
        <v>-545.38715992226798</v>
      </c>
      <c r="S31" s="71">
        <f t="shared" si="15"/>
        <v>-524.06279768709044</v>
      </c>
      <c r="T31" s="71">
        <f t="shared" si="15"/>
        <v>-522.42511582012401</v>
      </c>
      <c r="U31" s="71">
        <f t="shared" si="15"/>
        <v>-534.01757339508299</v>
      </c>
      <c r="V31" s="71">
        <f t="shared" si="15"/>
        <v>-534.96237472224709</v>
      </c>
      <c r="W31" s="71">
        <f t="shared" si="15"/>
        <v>-521.38828834193566</v>
      </c>
      <c r="X31" s="71">
        <f t="shared" si="15"/>
        <v>-530.37388498145799</v>
      </c>
      <c r="Y31" s="15"/>
    </row>
    <row r="32" spans="2:25" x14ac:dyDescent="0.3">
      <c r="B32" s="4" t="s">
        <v>266</v>
      </c>
      <c r="C32" s="27" t="s">
        <v>73</v>
      </c>
      <c r="D32" s="28" t="s">
        <v>61</v>
      </c>
      <c r="E32" s="39">
        <f>SUMIFS(Actuals!$I:$I,Actuals!$A:$A,E$7,Actuals!$C:$C,$C32)</f>
        <v>0</v>
      </c>
      <c r="F32" s="39">
        <f>SUMIFS(Actuals!$I:$I,Actuals!$A:$A,F$7,Actuals!$C:$C,$C32)</f>
        <v>0</v>
      </c>
      <c r="G32" s="39">
        <f>SUMIFS(Actuals!$I:$I,Actuals!$A:$A,G$7,Actuals!$C:$C,$C32)</f>
        <v>0</v>
      </c>
      <c r="H32" s="39">
        <f>SUMIFS(Actuals!$I:$I,Actuals!$A:$A,H$7,Actuals!$C:$C,$C32)</f>
        <v>0</v>
      </c>
      <c r="I32" s="39">
        <f>SUMIFS(Actuals!$I:$I,Actuals!$A:$A,I$7,Actuals!$C:$C,$C32)</f>
        <v>0</v>
      </c>
      <c r="J32" s="39">
        <f>SUMIFS(Actuals!$I:$I,Actuals!$A:$A,J$7,Actuals!$C:$C,$C32)</f>
        <v>0</v>
      </c>
      <c r="K32" s="39">
        <f>SUMIFS(Actuals!$I:$I,Actuals!$A:$A,K$7,Actuals!$C:$C,$C32)</f>
        <v>0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15"/>
    </row>
    <row r="33" spans="2:25" x14ac:dyDescent="0.3">
      <c r="B33" s="4" t="s">
        <v>266</v>
      </c>
      <c r="C33" s="27" t="s">
        <v>74</v>
      </c>
      <c r="D33" s="28" t="s">
        <v>75</v>
      </c>
      <c r="E33" s="39">
        <f>SUMIFS(Actuals!$I:$I,Actuals!$A:$A,E$7,Actuals!$C:$C,$C33)</f>
        <v>0</v>
      </c>
      <c r="F33" s="39">
        <f>SUMIFS(Actuals!$I:$I,Actuals!$A:$A,F$7,Actuals!$C:$C,$C33)</f>
        <v>-5000</v>
      </c>
      <c r="G33" s="39">
        <f>SUMIFS(Actuals!$I:$I,Actuals!$A:$A,G$7,Actuals!$C:$C,$C33)</f>
        <v>0</v>
      </c>
      <c r="H33" s="39">
        <f>SUMIFS(Actuals!$I:$I,Actuals!$A:$A,H$7,Actuals!$C:$C,$C33)</f>
        <v>0</v>
      </c>
      <c r="I33" s="39">
        <f>SUMIFS(Actuals!$I:$I,Actuals!$A:$A,I$7,Actuals!$C:$C,$C33)</f>
        <v>0</v>
      </c>
      <c r="J33" s="39">
        <f>SUMIFS(Actuals!$I:$I,Actuals!$A:$A,J$7,Actuals!$C:$C,$C33)</f>
        <v>0</v>
      </c>
      <c r="K33" s="39">
        <f>SUMIFS(Actuals!$I:$I,Actuals!$A:$A,K$7,Actuals!$C:$C,$C33)</f>
        <v>-5000</v>
      </c>
      <c r="L33" s="72"/>
      <c r="M33" s="72"/>
      <c r="N33" s="72"/>
      <c r="O33" s="72">
        <v>-5000</v>
      </c>
      <c r="P33" s="72"/>
      <c r="Q33" s="72"/>
      <c r="R33" s="72"/>
      <c r="S33" s="72">
        <v>-5000</v>
      </c>
      <c r="T33" s="72"/>
      <c r="U33" s="72"/>
      <c r="V33" s="72"/>
      <c r="W33" s="72">
        <v>-5000</v>
      </c>
      <c r="X33" s="72"/>
      <c r="Y33" s="15"/>
    </row>
    <row r="34" spans="2:25" x14ac:dyDescent="0.3">
      <c r="B34" s="4" t="s">
        <v>266</v>
      </c>
      <c r="C34" s="27" t="s">
        <v>76</v>
      </c>
      <c r="D34" s="28" t="s">
        <v>61</v>
      </c>
      <c r="E34" s="39">
        <f>SUMIFS(Actuals!$I:$I,Actuals!$A:$A,E$7,Actuals!$C:$C,$C34)</f>
        <v>0</v>
      </c>
      <c r="F34" s="39">
        <f>SUMIFS(Actuals!$I:$I,Actuals!$A:$A,F$7,Actuals!$C:$C,$C34)</f>
        <v>0</v>
      </c>
      <c r="G34" s="39">
        <f>SUMIFS(Actuals!$I:$I,Actuals!$A:$A,G$7,Actuals!$C:$C,$C34)</f>
        <v>0</v>
      </c>
      <c r="H34" s="39">
        <f>SUMIFS(Actuals!$I:$I,Actuals!$A:$A,H$7,Actuals!$C:$C,$C34)</f>
        <v>0</v>
      </c>
      <c r="I34" s="39">
        <f>SUMIFS(Actuals!$I:$I,Actuals!$A:$A,I$7,Actuals!$C:$C,$C34)</f>
        <v>0</v>
      </c>
      <c r="J34" s="39">
        <f>SUMIFS(Actuals!$I:$I,Actuals!$A:$A,J$7,Actuals!$C:$C,$C34)</f>
        <v>0</v>
      </c>
      <c r="K34" s="39">
        <f>SUMIFS(Actuals!$I:$I,Actuals!$A:$A,K$7,Actuals!$C:$C,$C34)</f>
        <v>0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15"/>
    </row>
    <row r="35" spans="2:25" x14ac:dyDescent="0.3">
      <c r="B35" s="4" t="s">
        <v>266</v>
      </c>
      <c r="C35" s="27" t="s">
        <v>77</v>
      </c>
      <c r="D35" s="28" t="s">
        <v>61</v>
      </c>
      <c r="E35" s="39">
        <f>SUMIFS(Actuals!$I:$I,Actuals!$A:$A,E$7,Actuals!$C:$C,$C35)</f>
        <v>0</v>
      </c>
      <c r="F35" s="39">
        <f>SUMIFS(Actuals!$I:$I,Actuals!$A:$A,F$7,Actuals!$C:$C,$C35)</f>
        <v>0</v>
      </c>
      <c r="G35" s="39">
        <f>SUMIFS(Actuals!$I:$I,Actuals!$A:$A,G$7,Actuals!$C:$C,$C35)</f>
        <v>0</v>
      </c>
      <c r="H35" s="39">
        <f>SUMIFS(Actuals!$I:$I,Actuals!$A:$A,H$7,Actuals!$C:$C,$C35)</f>
        <v>0</v>
      </c>
      <c r="I35" s="39">
        <f>SUMIFS(Actuals!$I:$I,Actuals!$A:$A,I$7,Actuals!$C:$C,$C35)</f>
        <v>0</v>
      </c>
      <c r="J35" s="39">
        <f>SUMIFS(Actuals!$I:$I,Actuals!$A:$A,J$7,Actuals!$C:$C,$C35)</f>
        <v>0</v>
      </c>
      <c r="K35" s="39">
        <f>SUMIFS(Actuals!$I:$I,Actuals!$A:$A,K$7,Actuals!$C:$C,$C35)</f>
        <v>0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15"/>
    </row>
    <row r="36" spans="2:25" x14ac:dyDescent="0.3">
      <c r="B36" s="4" t="s">
        <v>266</v>
      </c>
      <c r="C36" s="27" t="s">
        <v>78</v>
      </c>
      <c r="D36" s="28" t="s">
        <v>61</v>
      </c>
      <c r="E36" s="39">
        <f>SUMIFS(Actuals!$I:$I,Actuals!$A:$A,E$7,Actuals!$C:$C,$C36)</f>
        <v>0</v>
      </c>
      <c r="F36" s="39">
        <f>SUMIFS(Actuals!$I:$I,Actuals!$A:$A,F$7,Actuals!$C:$C,$C36)</f>
        <v>0</v>
      </c>
      <c r="G36" s="39">
        <f>SUMIFS(Actuals!$I:$I,Actuals!$A:$A,G$7,Actuals!$C:$C,$C36)</f>
        <v>0</v>
      </c>
      <c r="H36" s="39">
        <f>SUMIFS(Actuals!$I:$I,Actuals!$A:$A,H$7,Actuals!$C:$C,$C36)</f>
        <v>0</v>
      </c>
      <c r="I36" s="39">
        <f>SUMIFS(Actuals!$I:$I,Actuals!$A:$A,I$7,Actuals!$C:$C,$C36)</f>
        <v>0</v>
      </c>
      <c r="J36" s="39">
        <f>SUMIFS(Actuals!$I:$I,Actuals!$A:$A,J$7,Actuals!$C:$C,$C36)</f>
        <v>0</v>
      </c>
      <c r="K36" s="39">
        <f>SUMIFS(Actuals!$I:$I,Actuals!$A:$A,K$7,Actuals!$C:$C,$C36)</f>
        <v>0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15"/>
    </row>
    <row r="37" spans="2:25" x14ac:dyDescent="0.3">
      <c r="B37" s="4" t="s">
        <v>266</v>
      </c>
      <c r="C37" s="27" t="s">
        <v>79</v>
      </c>
      <c r="D37" s="28" t="s">
        <v>61</v>
      </c>
      <c r="E37" s="39">
        <f>SUMIFS(Actuals!$I:$I,Actuals!$A:$A,E$7,Actuals!$C:$C,$C37)</f>
        <v>0</v>
      </c>
      <c r="F37" s="39">
        <f>SUMIFS(Actuals!$I:$I,Actuals!$A:$A,F$7,Actuals!$C:$C,$C37)</f>
        <v>0</v>
      </c>
      <c r="G37" s="39">
        <f>SUMIFS(Actuals!$I:$I,Actuals!$A:$A,G$7,Actuals!$C:$C,$C37)</f>
        <v>0</v>
      </c>
      <c r="H37" s="39">
        <f>SUMIFS(Actuals!$I:$I,Actuals!$A:$A,H$7,Actuals!$C:$C,$C37)</f>
        <v>0</v>
      </c>
      <c r="I37" s="39">
        <f>SUMIFS(Actuals!$I:$I,Actuals!$A:$A,I$7,Actuals!$C:$C,$C37)</f>
        <v>0</v>
      </c>
      <c r="J37" s="39">
        <f>SUMIFS(Actuals!$I:$I,Actuals!$A:$A,J$7,Actuals!$C:$C,$C37)</f>
        <v>0</v>
      </c>
      <c r="K37" s="39">
        <f>SUMIFS(Actuals!$I:$I,Actuals!$A:$A,K$7,Actuals!$C:$C,$C37)</f>
        <v>0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15"/>
    </row>
    <row r="38" spans="2:25" x14ac:dyDescent="0.3">
      <c r="B38" s="4" t="s">
        <v>266</v>
      </c>
      <c r="C38" s="27" t="s">
        <v>80</v>
      </c>
      <c r="D38" s="28" t="s">
        <v>67</v>
      </c>
      <c r="E38" s="39">
        <f>SUMIFS(Actuals!$I:$I,Actuals!$A:$A,E$7,Actuals!$C:$C,$C38)</f>
        <v>-1110</v>
      </c>
      <c r="F38" s="39">
        <f>SUMIFS(Actuals!$I:$I,Actuals!$A:$A,F$7,Actuals!$C:$C,$C38)</f>
        <v>-1150</v>
      </c>
      <c r="G38" s="39">
        <f>SUMIFS(Actuals!$I:$I,Actuals!$A:$A,G$7,Actuals!$C:$C,$C38)</f>
        <v>-2100</v>
      </c>
      <c r="H38" s="39">
        <f>SUMIFS(Actuals!$I:$I,Actuals!$A:$A,H$7,Actuals!$C:$C,$C38)</f>
        <v>0</v>
      </c>
      <c r="I38" s="39">
        <f>SUMIFS(Actuals!$I:$I,Actuals!$A:$A,I$7,Actuals!$C:$C,$C38)</f>
        <v>-2130</v>
      </c>
      <c r="J38" s="39">
        <f>SUMIFS(Actuals!$I:$I,Actuals!$A:$A,J$7,Actuals!$C:$C,$C38)</f>
        <v>0</v>
      </c>
      <c r="K38" s="39">
        <f>SUMIFS(Actuals!$I:$I,Actuals!$A:$A,K$7,Actuals!$C:$C,$C38)</f>
        <v>-860</v>
      </c>
      <c r="L38" s="71">
        <f t="shared" ref="L38:X38" si="16">AVERAGE(F38:K38)</f>
        <v>-1040</v>
      </c>
      <c r="M38" s="71">
        <f t="shared" si="16"/>
        <v>-1021.6666666666666</v>
      </c>
      <c r="N38" s="71">
        <f t="shared" si="16"/>
        <v>-841.94444444444446</v>
      </c>
      <c r="O38" s="71">
        <f t="shared" si="16"/>
        <v>-982.26851851851859</v>
      </c>
      <c r="P38" s="71">
        <f t="shared" si="16"/>
        <v>-790.97993827160496</v>
      </c>
      <c r="Q38" s="71">
        <f t="shared" si="16"/>
        <v>-922.80992798353907</v>
      </c>
      <c r="R38" s="71">
        <f t="shared" si="16"/>
        <v>-933.27824931412886</v>
      </c>
      <c r="S38" s="71">
        <f t="shared" si="16"/>
        <v>-915.49129086648372</v>
      </c>
      <c r="T38" s="71">
        <f t="shared" si="16"/>
        <v>-897.79539489978663</v>
      </c>
      <c r="U38" s="71">
        <f t="shared" si="16"/>
        <v>-907.1038866423437</v>
      </c>
      <c r="V38" s="71">
        <f t="shared" si="16"/>
        <v>-894.57644799631453</v>
      </c>
      <c r="W38" s="71">
        <f t="shared" si="16"/>
        <v>-911.84253295043288</v>
      </c>
      <c r="X38" s="71">
        <f t="shared" si="16"/>
        <v>-910.01463377824837</v>
      </c>
      <c r="Y38" s="15"/>
    </row>
    <row r="39" spans="2:25" x14ac:dyDescent="0.3">
      <c r="B39" s="4" t="s">
        <v>266</v>
      </c>
      <c r="C39" s="27" t="s">
        <v>81</v>
      </c>
      <c r="D39" s="28" t="s">
        <v>61</v>
      </c>
      <c r="E39" s="39">
        <f>SUMIFS(Actuals!$I:$I,Actuals!$A:$A,E$7,Actuals!$C:$C,$C39)</f>
        <v>0</v>
      </c>
      <c r="F39" s="39">
        <f>SUMIFS(Actuals!$I:$I,Actuals!$A:$A,F$7,Actuals!$C:$C,$C39)</f>
        <v>0</v>
      </c>
      <c r="G39" s="39">
        <f>SUMIFS(Actuals!$I:$I,Actuals!$A:$A,G$7,Actuals!$C:$C,$C39)</f>
        <v>0</v>
      </c>
      <c r="H39" s="39">
        <f>SUMIFS(Actuals!$I:$I,Actuals!$A:$A,H$7,Actuals!$C:$C,$C39)</f>
        <v>0</v>
      </c>
      <c r="I39" s="39">
        <f>SUMIFS(Actuals!$I:$I,Actuals!$A:$A,I$7,Actuals!$C:$C,$C39)</f>
        <v>0</v>
      </c>
      <c r="J39" s="39">
        <f>SUMIFS(Actuals!$I:$I,Actuals!$A:$A,J$7,Actuals!$C:$C,$C39)</f>
        <v>0</v>
      </c>
      <c r="K39" s="39">
        <f>SUMIFS(Actuals!$I:$I,Actuals!$A:$A,K$7,Actuals!$C:$C,$C39)</f>
        <v>0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15"/>
    </row>
    <row r="40" spans="2:25" x14ac:dyDescent="0.3">
      <c r="B40" s="4" t="s">
        <v>266</v>
      </c>
      <c r="C40" s="27" t="s">
        <v>82</v>
      </c>
      <c r="D40" s="28" t="s">
        <v>61</v>
      </c>
      <c r="E40" s="39">
        <f>SUMIFS(Actuals!$I:$I,Actuals!$A:$A,E$7,Actuals!$C:$C,$C40)</f>
        <v>0</v>
      </c>
      <c r="F40" s="39">
        <f>SUMIFS(Actuals!$I:$I,Actuals!$A:$A,F$7,Actuals!$C:$C,$C40)</f>
        <v>0</v>
      </c>
      <c r="G40" s="39">
        <f>SUMIFS(Actuals!$I:$I,Actuals!$A:$A,G$7,Actuals!$C:$C,$C40)</f>
        <v>0</v>
      </c>
      <c r="H40" s="39">
        <f>SUMIFS(Actuals!$I:$I,Actuals!$A:$A,H$7,Actuals!$C:$C,$C40)</f>
        <v>0</v>
      </c>
      <c r="I40" s="39">
        <f>SUMIFS(Actuals!$I:$I,Actuals!$A:$A,I$7,Actuals!$C:$C,$C40)</f>
        <v>0</v>
      </c>
      <c r="J40" s="39">
        <f>SUMIFS(Actuals!$I:$I,Actuals!$A:$A,J$7,Actuals!$C:$C,$C40)</f>
        <v>0</v>
      </c>
      <c r="K40" s="39">
        <f>SUMIFS(Actuals!$I:$I,Actuals!$A:$A,K$7,Actuals!$C:$C,$C40)</f>
        <v>0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15"/>
    </row>
    <row r="41" spans="2:25" x14ac:dyDescent="0.3">
      <c r="B41" s="4" t="s">
        <v>266</v>
      </c>
      <c r="C41" s="27" t="s">
        <v>83</v>
      </c>
      <c r="D41" s="28" t="s">
        <v>61</v>
      </c>
      <c r="E41" s="39">
        <f>SUMIFS(Actuals!$I:$I,Actuals!$A:$A,E$7,Actuals!$C:$C,$C41)</f>
        <v>0</v>
      </c>
      <c r="F41" s="39">
        <f>SUMIFS(Actuals!$I:$I,Actuals!$A:$A,F$7,Actuals!$C:$C,$C41)</f>
        <v>0</v>
      </c>
      <c r="G41" s="39">
        <f>SUMIFS(Actuals!$I:$I,Actuals!$A:$A,G$7,Actuals!$C:$C,$C41)</f>
        <v>0</v>
      </c>
      <c r="H41" s="39">
        <f>SUMIFS(Actuals!$I:$I,Actuals!$A:$A,H$7,Actuals!$C:$C,$C41)</f>
        <v>0</v>
      </c>
      <c r="I41" s="39">
        <f>SUMIFS(Actuals!$I:$I,Actuals!$A:$A,I$7,Actuals!$C:$C,$C41)</f>
        <v>0</v>
      </c>
      <c r="J41" s="39">
        <f>SUMIFS(Actuals!$I:$I,Actuals!$A:$A,J$7,Actuals!$C:$C,$C41)</f>
        <v>0</v>
      </c>
      <c r="K41" s="39">
        <f>SUMIFS(Actuals!$I:$I,Actuals!$A:$A,K$7,Actuals!$C:$C,$C41)</f>
        <v>0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15"/>
    </row>
    <row r="42" spans="2:25" x14ac:dyDescent="0.3">
      <c r="B42" s="4" t="s">
        <v>266</v>
      </c>
      <c r="C42" s="27" t="s">
        <v>84</v>
      </c>
      <c r="D42" s="28" t="s">
        <v>85</v>
      </c>
      <c r="E42" s="39">
        <f>SUMIFS(Actuals!$I:$I,Actuals!$A:$A,E$7,Actuals!$C:$C,$C42)</f>
        <v>0</v>
      </c>
      <c r="F42" s="39">
        <f>SUMIFS(Actuals!$I:$I,Actuals!$A:$A,F$7,Actuals!$C:$C,$C42)</f>
        <v>-7660</v>
      </c>
      <c r="G42" s="39">
        <f>SUMIFS(Actuals!$I:$I,Actuals!$A:$A,G$7,Actuals!$C:$C,$C42)</f>
        <v>0</v>
      </c>
      <c r="H42" s="39">
        <f>SUMIFS(Actuals!$I:$I,Actuals!$A:$A,H$7,Actuals!$C:$C,$C42)</f>
        <v>0</v>
      </c>
      <c r="I42" s="39">
        <f>SUMIFS(Actuals!$I:$I,Actuals!$A:$A,I$7,Actuals!$C:$C,$C42)</f>
        <v>0</v>
      </c>
      <c r="J42" s="39">
        <f>SUMIFS(Actuals!$I:$I,Actuals!$A:$A,J$7,Actuals!$C:$C,$C42)</f>
        <v>-5840</v>
      </c>
      <c r="K42" s="39">
        <f>SUMIFS(Actuals!$I:$I,Actuals!$A:$A,K$7,Actuals!$C:$C,$C42)</f>
        <v>-510</v>
      </c>
      <c r="L42" s="72"/>
      <c r="M42" s="72"/>
      <c r="N42" s="72"/>
      <c r="O42" s="72">
        <v>-7000</v>
      </c>
      <c r="P42" s="72"/>
      <c r="Q42" s="72"/>
      <c r="R42" s="72"/>
      <c r="S42" s="72">
        <v>-7000</v>
      </c>
      <c r="T42" s="72"/>
      <c r="U42" s="72"/>
      <c r="V42" s="72"/>
      <c r="W42" s="72">
        <v>-7000</v>
      </c>
      <c r="X42" s="72"/>
      <c r="Y42" s="15"/>
    </row>
    <row r="43" spans="2:25" x14ac:dyDescent="0.3">
      <c r="B43" s="4" t="s">
        <v>266</v>
      </c>
      <c r="C43" s="27" t="s">
        <v>86</v>
      </c>
      <c r="D43" s="28" t="s">
        <v>67</v>
      </c>
      <c r="E43" s="39">
        <f>SUMIFS(Actuals!$I:$I,Actuals!$A:$A,E$7,Actuals!$C:$C,$C43)</f>
        <v>-1270</v>
      </c>
      <c r="F43" s="39">
        <f>SUMIFS(Actuals!$I:$I,Actuals!$A:$A,F$7,Actuals!$C:$C,$C43)</f>
        <v>-2570</v>
      </c>
      <c r="G43" s="39">
        <f>SUMIFS(Actuals!$I:$I,Actuals!$A:$A,G$7,Actuals!$C:$C,$C43)</f>
        <v>0</v>
      </c>
      <c r="H43" s="39">
        <f>SUMIFS(Actuals!$I:$I,Actuals!$A:$A,H$7,Actuals!$C:$C,$C43)</f>
        <v>0</v>
      </c>
      <c r="I43" s="39">
        <f>SUMIFS(Actuals!$I:$I,Actuals!$A:$A,I$7,Actuals!$C:$C,$C43)</f>
        <v>0</v>
      </c>
      <c r="J43" s="39">
        <f>SUMIFS(Actuals!$I:$I,Actuals!$A:$A,J$7,Actuals!$C:$C,$C43)</f>
        <v>-1270</v>
      </c>
      <c r="K43" s="39">
        <f>SUMIFS(Actuals!$I:$I,Actuals!$A:$A,K$7,Actuals!$C:$C,$C43)</f>
        <v>-1580</v>
      </c>
      <c r="L43" s="71">
        <f t="shared" ref="L43:X43" si="17">AVERAGE(F43:K43)</f>
        <v>-903.33333333333337</v>
      </c>
      <c r="M43" s="71">
        <f t="shared" si="17"/>
        <v>-625.55555555555554</v>
      </c>
      <c r="N43" s="71">
        <f t="shared" si="17"/>
        <v>-729.81481481481478</v>
      </c>
      <c r="O43" s="71">
        <f t="shared" si="17"/>
        <v>-851.45061728395058</v>
      </c>
      <c r="P43" s="71">
        <f t="shared" si="17"/>
        <v>-993.35905349794245</v>
      </c>
      <c r="Q43" s="71">
        <f t="shared" si="17"/>
        <v>-947.25222908093281</v>
      </c>
      <c r="R43" s="71">
        <f t="shared" si="17"/>
        <v>-841.79426726108829</v>
      </c>
      <c r="S43" s="71">
        <f t="shared" si="17"/>
        <v>-831.53775624904745</v>
      </c>
      <c r="T43" s="71">
        <f t="shared" si="17"/>
        <v>-865.86812303129602</v>
      </c>
      <c r="U43" s="71">
        <f t="shared" si="17"/>
        <v>-888.54367440070962</v>
      </c>
      <c r="V43" s="71">
        <f t="shared" si="17"/>
        <v>-894.72585058683615</v>
      </c>
      <c r="W43" s="71">
        <f t="shared" si="17"/>
        <v>-878.2869834349849</v>
      </c>
      <c r="X43" s="71">
        <f t="shared" si="17"/>
        <v>-866.79277582732709</v>
      </c>
      <c r="Y43" s="15"/>
    </row>
    <row r="44" spans="2:25" x14ac:dyDescent="0.3">
      <c r="C44" s="27"/>
      <c r="D44" s="28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15"/>
    </row>
    <row r="45" spans="2:25" x14ac:dyDescent="0.3">
      <c r="C45" s="40" t="s">
        <v>87</v>
      </c>
      <c r="D45" s="41"/>
      <c r="E45" s="42">
        <f t="shared" ref="E45:W45" si="18">SUM(E24:E44)</f>
        <v>-114140</v>
      </c>
      <c r="F45" s="42">
        <f t="shared" si="18"/>
        <v>-374900</v>
      </c>
      <c r="G45" s="42">
        <f t="shared" si="18"/>
        <v>-124910</v>
      </c>
      <c r="H45" s="42">
        <f t="shared" si="18"/>
        <v>-180410</v>
      </c>
      <c r="I45" s="42">
        <f t="shared" si="18"/>
        <v>-66850</v>
      </c>
      <c r="J45" s="42">
        <f t="shared" si="18"/>
        <v>-166200</v>
      </c>
      <c r="K45" s="42">
        <f t="shared" si="18"/>
        <v>-483870</v>
      </c>
      <c r="L45" s="42">
        <f t="shared" si="18"/>
        <v>-51111.666666666672</v>
      </c>
      <c r="M45" s="42">
        <f t="shared" si="18"/>
        <v>-210073.61111111109</v>
      </c>
      <c r="N45" s="42">
        <f t="shared" si="18"/>
        <v>-43869.212962962971</v>
      </c>
      <c r="O45" s="42">
        <f t="shared" si="18"/>
        <v>-209469.08179012345</v>
      </c>
      <c r="P45" s="42">
        <f t="shared" si="18"/>
        <v>-43852.262088477379</v>
      </c>
      <c r="Q45" s="42">
        <f t="shared" si="18"/>
        <v>-94530.972436556927</v>
      </c>
      <c r="R45" s="42">
        <f t="shared" si="18"/>
        <v>-45551.134509316427</v>
      </c>
      <c r="S45" s="42">
        <f t="shared" si="18"/>
        <v>-260224.37914975805</v>
      </c>
      <c r="T45" s="42">
        <f t="shared" si="18"/>
        <v>-177082.84048953257</v>
      </c>
      <c r="U45" s="42">
        <f t="shared" si="18"/>
        <v>-194585.11174396079</v>
      </c>
      <c r="V45" s="42">
        <f t="shared" si="18"/>
        <v>-144604.45006960034</v>
      </c>
      <c r="W45" s="42">
        <f t="shared" si="18"/>
        <v>-272729.8147331209</v>
      </c>
      <c r="X45" s="42">
        <f t="shared" ref="X45" si="19">SUM(X24:X44)</f>
        <v>-44762.955115881501</v>
      </c>
      <c r="Y45" s="15"/>
    </row>
    <row r="46" spans="2:25" x14ac:dyDescent="0.3">
      <c r="D46" s="28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15"/>
    </row>
    <row r="47" spans="2:25" ht="14.5" x14ac:dyDescent="0.45">
      <c r="C47" s="20" t="s">
        <v>88</v>
      </c>
      <c r="D47" s="37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15"/>
    </row>
    <row r="48" spans="2:25" x14ac:dyDescent="0.3">
      <c r="B48" s="4" t="s">
        <v>267</v>
      </c>
      <c r="C48" s="27" t="s">
        <v>89</v>
      </c>
      <c r="D48" s="28" t="s">
        <v>61</v>
      </c>
      <c r="E48" s="39">
        <f>SUMIFS(Actuals!$I:$I,Actuals!$A:$A,E$7,Actuals!$C:$C,$C48)</f>
        <v>0</v>
      </c>
      <c r="F48" s="39">
        <f>SUMIFS(Actuals!$I:$I,Actuals!$A:$A,F$7,Actuals!$C:$C,$C48)</f>
        <v>0</v>
      </c>
      <c r="G48" s="39">
        <f>SUMIFS(Actuals!$I:$I,Actuals!$A:$A,G$7,Actuals!$C:$C,$C48)</f>
        <v>0</v>
      </c>
      <c r="H48" s="39">
        <f>SUMIFS(Actuals!$I:$I,Actuals!$A:$A,H$7,Actuals!$C:$C,$C48)</f>
        <v>0</v>
      </c>
      <c r="I48" s="39">
        <f>SUMIFS(Actuals!$I:$I,Actuals!$A:$A,I$7,Actuals!$C:$C,$C48)</f>
        <v>0</v>
      </c>
      <c r="J48" s="39">
        <f>SUMIFS(Actuals!$I:$I,Actuals!$A:$A,J$7,Actuals!$C:$C,$C48)</f>
        <v>0</v>
      </c>
      <c r="K48" s="39">
        <f>SUMIFS(Actuals!$I:$I,Actuals!$A:$A,K$7,Actuals!$C:$C,$C48)</f>
        <v>0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15"/>
    </row>
    <row r="49" spans="2:25" x14ac:dyDescent="0.3">
      <c r="B49" s="4" t="s">
        <v>267</v>
      </c>
      <c r="C49" s="27" t="s">
        <v>90</v>
      </c>
      <c r="D49" s="28" t="s">
        <v>61</v>
      </c>
      <c r="E49" s="39">
        <f>SUMIFS(Actuals!$I:$I,Actuals!$A:$A,E$7,Actuals!$C:$C,$C49)</f>
        <v>0</v>
      </c>
      <c r="F49" s="39">
        <f>SUMIFS(Actuals!$I:$I,Actuals!$A:$A,F$7,Actuals!$C:$C,$C49)</f>
        <v>0</v>
      </c>
      <c r="G49" s="39">
        <f>SUMIFS(Actuals!$I:$I,Actuals!$A:$A,G$7,Actuals!$C:$C,$C49)</f>
        <v>0</v>
      </c>
      <c r="H49" s="39">
        <f>SUMIFS(Actuals!$I:$I,Actuals!$A:$A,H$7,Actuals!$C:$C,$C49)</f>
        <v>0</v>
      </c>
      <c r="I49" s="39">
        <f>SUMIFS(Actuals!$I:$I,Actuals!$A:$A,I$7,Actuals!$C:$C,$C49)</f>
        <v>0</v>
      </c>
      <c r="J49" s="39">
        <f>SUMIFS(Actuals!$I:$I,Actuals!$A:$A,J$7,Actuals!$C:$C,$C49)</f>
        <v>0</v>
      </c>
      <c r="K49" s="39">
        <f>SUMIFS(Actuals!$I:$I,Actuals!$A:$A,K$7,Actuals!$C:$C,$C49)</f>
        <v>0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15"/>
    </row>
    <row r="50" spans="2:25" x14ac:dyDescent="0.3">
      <c r="B50" s="4" t="s">
        <v>267</v>
      </c>
      <c r="C50" s="27" t="s">
        <v>91</v>
      </c>
      <c r="D50" s="28" t="s">
        <v>61</v>
      </c>
      <c r="E50" s="39">
        <f>SUMIFS(Actuals!$I:$I,Actuals!$A:$A,E$7,Actuals!$C:$C,$C50)</f>
        <v>0</v>
      </c>
      <c r="F50" s="39">
        <f>SUMIFS(Actuals!$I:$I,Actuals!$A:$A,F$7,Actuals!$C:$C,$C50)</f>
        <v>0</v>
      </c>
      <c r="G50" s="39">
        <f>SUMIFS(Actuals!$I:$I,Actuals!$A:$A,G$7,Actuals!$C:$C,$C50)</f>
        <v>0</v>
      </c>
      <c r="H50" s="39">
        <f>SUMIFS(Actuals!$I:$I,Actuals!$A:$A,H$7,Actuals!$C:$C,$C50)</f>
        <v>0</v>
      </c>
      <c r="I50" s="39">
        <f>SUMIFS(Actuals!$I:$I,Actuals!$A:$A,I$7,Actuals!$C:$C,$C50)</f>
        <v>0</v>
      </c>
      <c r="J50" s="39">
        <f>SUMIFS(Actuals!$I:$I,Actuals!$A:$A,J$7,Actuals!$C:$C,$C50)</f>
        <v>0</v>
      </c>
      <c r="K50" s="39">
        <f>SUMIFS(Actuals!$I:$I,Actuals!$A:$A,K$7,Actuals!$C:$C,$C50)</f>
        <v>0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15"/>
    </row>
    <row r="51" spans="2:25" x14ac:dyDescent="0.3">
      <c r="B51" s="4" t="s">
        <v>267</v>
      </c>
      <c r="C51" s="27" t="s">
        <v>92</v>
      </c>
      <c r="D51" s="28" t="s">
        <v>61</v>
      </c>
      <c r="E51" s="39">
        <f>SUMIFS(Actuals!$I:$I,Actuals!$A:$A,E$7,Actuals!$C:$C,$C51)</f>
        <v>0</v>
      </c>
      <c r="F51" s="39">
        <f>SUMIFS(Actuals!$I:$I,Actuals!$A:$A,F$7,Actuals!$C:$C,$C51)</f>
        <v>0</v>
      </c>
      <c r="G51" s="39">
        <f>SUMIFS(Actuals!$I:$I,Actuals!$A:$A,G$7,Actuals!$C:$C,$C51)</f>
        <v>0</v>
      </c>
      <c r="H51" s="39">
        <f>SUMIFS(Actuals!$I:$I,Actuals!$A:$A,H$7,Actuals!$C:$C,$C51)</f>
        <v>0</v>
      </c>
      <c r="I51" s="39">
        <f>SUMIFS(Actuals!$I:$I,Actuals!$A:$A,I$7,Actuals!$C:$C,$C51)</f>
        <v>0</v>
      </c>
      <c r="J51" s="39">
        <f>SUMIFS(Actuals!$I:$I,Actuals!$A:$A,J$7,Actuals!$C:$C,$C51)</f>
        <v>0</v>
      </c>
      <c r="K51" s="39">
        <f>SUMIFS(Actuals!$I:$I,Actuals!$A:$A,K$7,Actuals!$C:$C,$C51)</f>
        <v>0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15"/>
    </row>
    <row r="52" spans="2:25" x14ac:dyDescent="0.3">
      <c r="B52" s="4" t="s">
        <v>267</v>
      </c>
      <c r="C52" s="27" t="s">
        <v>93</v>
      </c>
      <c r="D52" s="28" t="s">
        <v>67</v>
      </c>
      <c r="E52" s="39">
        <f>SUMIFS(Actuals!$I:$I,Actuals!$A:$A,E$7,Actuals!$C:$C,$C52)</f>
        <v>-21230</v>
      </c>
      <c r="F52" s="39">
        <f>SUMIFS(Actuals!$I:$I,Actuals!$A:$A,F$7,Actuals!$C:$C,$C52)</f>
        <v>-24740</v>
      </c>
      <c r="G52" s="39">
        <f>SUMIFS(Actuals!$I:$I,Actuals!$A:$A,G$7,Actuals!$C:$C,$C52)</f>
        <v>-20220</v>
      </c>
      <c r="H52" s="39">
        <f>SUMIFS(Actuals!$I:$I,Actuals!$A:$A,H$7,Actuals!$C:$C,$C52)</f>
        <v>-14200</v>
      </c>
      <c r="I52" s="39">
        <f>SUMIFS(Actuals!$I:$I,Actuals!$A:$A,I$7,Actuals!$C:$C,$C52)</f>
        <v>-12680</v>
      </c>
      <c r="J52" s="39">
        <f>SUMIFS(Actuals!$I:$I,Actuals!$A:$A,J$7,Actuals!$C:$C,$C52)</f>
        <v>-12340</v>
      </c>
      <c r="K52" s="39">
        <f>SUMIFS(Actuals!$I:$I,Actuals!$A:$A,K$7,Actuals!$C:$C,$C52)</f>
        <v>-8560</v>
      </c>
      <c r="L52" s="71">
        <f t="shared" ref="L52:X52" si="20">AVERAGE(F52:K52)</f>
        <v>-15456.666666666666</v>
      </c>
      <c r="M52" s="71">
        <f t="shared" si="20"/>
        <v>-13909.444444444445</v>
      </c>
      <c r="N52" s="71">
        <f t="shared" si="20"/>
        <v>-12857.685185185184</v>
      </c>
      <c r="O52" s="71">
        <f t="shared" si="20"/>
        <v>-12633.966049382716</v>
      </c>
      <c r="P52" s="71">
        <f t="shared" si="20"/>
        <v>-12626.293724279834</v>
      </c>
      <c r="Q52" s="71">
        <f t="shared" si="20"/>
        <v>-12674.009344993139</v>
      </c>
      <c r="R52" s="71">
        <f t="shared" si="20"/>
        <v>-13359.677569158664</v>
      </c>
      <c r="S52" s="71">
        <f t="shared" si="20"/>
        <v>-13010.179386240663</v>
      </c>
      <c r="T52" s="71">
        <f t="shared" si="20"/>
        <v>-12860.301876540034</v>
      </c>
      <c r="U52" s="71">
        <f t="shared" si="20"/>
        <v>-12860.737991765842</v>
      </c>
      <c r="V52" s="71">
        <f t="shared" si="20"/>
        <v>-12898.533315496365</v>
      </c>
      <c r="W52" s="71">
        <f t="shared" si="20"/>
        <v>-12943.906580699118</v>
      </c>
      <c r="X52" s="71">
        <f t="shared" si="20"/>
        <v>-12988.889453316782</v>
      </c>
      <c r="Y52" s="15"/>
    </row>
    <row r="53" spans="2:25" x14ac:dyDescent="0.3">
      <c r="B53" s="4" t="s">
        <v>267</v>
      </c>
      <c r="C53" s="27" t="s">
        <v>94</v>
      </c>
      <c r="D53" s="28" t="s">
        <v>61</v>
      </c>
      <c r="E53" s="39">
        <f>SUMIFS(Actuals!$I:$I,Actuals!$A:$A,E$7,Actuals!$C:$C,$C53)</f>
        <v>0</v>
      </c>
      <c r="F53" s="39">
        <f>SUMIFS(Actuals!$I:$I,Actuals!$A:$A,F$7,Actuals!$C:$C,$C53)</f>
        <v>0</v>
      </c>
      <c r="G53" s="39">
        <f>SUMIFS(Actuals!$I:$I,Actuals!$A:$A,G$7,Actuals!$C:$C,$C53)</f>
        <v>0</v>
      </c>
      <c r="H53" s="39">
        <f>SUMIFS(Actuals!$I:$I,Actuals!$A:$A,H$7,Actuals!$C:$C,$C53)</f>
        <v>0</v>
      </c>
      <c r="I53" s="39">
        <f>SUMIFS(Actuals!$I:$I,Actuals!$A:$A,I$7,Actuals!$C:$C,$C53)</f>
        <v>0</v>
      </c>
      <c r="J53" s="39">
        <f>SUMIFS(Actuals!$I:$I,Actuals!$A:$A,J$7,Actuals!$C:$C,$C53)</f>
        <v>0</v>
      </c>
      <c r="K53" s="39">
        <f>SUMIFS(Actuals!$I:$I,Actuals!$A:$A,K$7,Actuals!$C:$C,$C53)</f>
        <v>0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15"/>
    </row>
    <row r="54" spans="2:25" x14ac:dyDescent="0.3">
      <c r="B54" s="4" t="s">
        <v>267</v>
      </c>
      <c r="C54" s="27" t="s">
        <v>95</v>
      </c>
      <c r="D54" s="28" t="s">
        <v>61</v>
      </c>
      <c r="E54" s="39">
        <f>SUMIFS(Actuals!$I:$I,Actuals!$A:$A,E$7,Actuals!$C:$C,$C54)</f>
        <v>0</v>
      </c>
      <c r="F54" s="39">
        <f>SUMIFS(Actuals!$I:$I,Actuals!$A:$A,F$7,Actuals!$C:$C,$C54)</f>
        <v>0</v>
      </c>
      <c r="G54" s="39">
        <f>SUMIFS(Actuals!$I:$I,Actuals!$A:$A,G$7,Actuals!$C:$C,$C54)</f>
        <v>0</v>
      </c>
      <c r="H54" s="39">
        <f>SUMIFS(Actuals!$I:$I,Actuals!$A:$A,H$7,Actuals!$C:$C,$C54)</f>
        <v>0</v>
      </c>
      <c r="I54" s="39">
        <f>SUMIFS(Actuals!$I:$I,Actuals!$A:$A,I$7,Actuals!$C:$C,$C54)</f>
        <v>0</v>
      </c>
      <c r="J54" s="39">
        <f>SUMIFS(Actuals!$I:$I,Actuals!$A:$A,J$7,Actuals!$C:$C,$C54)</f>
        <v>0</v>
      </c>
      <c r="K54" s="39">
        <f>SUMIFS(Actuals!$I:$I,Actuals!$A:$A,K$7,Actuals!$C:$C,$C54)</f>
        <v>0</v>
      </c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15"/>
    </row>
    <row r="55" spans="2:25" x14ac:dyDescent="0.3">
      <c r="B55" s="4" t="s">
        <v>267</v>
      </c>
      <c r="C55" s="27" t="s">
        <v>96</v>
      </c>
      <c r="D55" s="28" t="s">
        <v>67</v>
      </c>
      <c r="E55" s="39">
        <f>SUMIFS(Actuals!$I:$I,Actuals!$A:$A,E$7,Actuals!$C:$C,$C55)</f>
        <v>0</v>
      </c>
      <c r="F55" s="39">
        <f>SUMIFS(Actuals!$I:$I,Actuals!$A:$A,F$7,Actuals!$C:$C,$C55)</f>
        <v>-8580</v>
      </c>
      <c r="G55" s="39">
        <f>SUMIFS(Actuals!$I:$I,Actuals!$A:$A,G$7,Actuals!$C:$C,$C55)</f>
        <v>0</v>
      </c>
      <c r="H55" s="39">
        <f>SUMIFS(Actuals!$I:$I,Actuals!$A:$A,H$7,Actuals!$C:$C,$C55)</f>
        <v>-1140</v>
      </c>
      <c r="I55" s="39">
        <f>SUMIFS(Actuals!$I:$I,Actuals!$A:$A,I$7,Actuals!$C:$C,$C55)</f>
        <v>0</v>
      </c>
      <c r="J55" s="39">
        <f>SUMIFS(Actuals!$I:$I,Actuals!$A:$A,J$7,Actuals!$C:$C,$C55)</f>
        <v>0</v>
      </c>
      <c r="K55" s="39">
        <f>SUMIFS(Actuals!$I:$I,Actuals!$A:$A,K$7,Actuals!$C:$C,$C55)</f>
        <v>-3260</v>
      </c>
      <c r="L55" s="71">
        <f t="shared" ref="L55:X55" si="21">AVERAGE(F55:K55)</f>
        <v>-2163.3333333333335</v>
      </c>
      <c r="M55" s="71">
        <f t="shared" si="21"/>
        <v>-1093.8888888888889</v>
      </c>
      <c r="N55" s="71">
        <f t="shared" si="21"/>
        <v>-1276.2037037037037</v>
      </c>
      <c r="O55" s="71">
        <f t="shared" si="21"/>
        <v>-1298.9043209876543</v>
      </c>
      <c r="P55" s="71">
        <f t="shared" si="21"/>
        <v>-1515.3883744855966</v>
      </c>
      <c r="Q55" s="71">
        <f t="shared" si="21"/>
        <v>-1767.9531035665295</v>
      </c>
      <c r="R55" s="71">
        <f t="shared" si="21"/>
        <v>-1519.2786208276177</v>
      </c>
      <c r="S55" s="71">
        <f t="shared" si="21"/>
        <v>-1411.9361687433318</v>
      </c>
      <c r="T55" s="71">
        <f t="shared" si="21"/>
        <v>-1464.9440487190723</v>
      </c>
      <c r="U55" s="71">
        <f t="shared" si="21"/>
        <v>-1496.4007728883005</v>
      </c>
      <c r="V55" s="71">
        <f t="shared" si="21"/>
        <v>-1529.3168482050748</v>
      </c>
      <c r="W55" s="71">
        <f t="shared" si="21"/>
        <v>-1531.6382604916544</v>
      </c>
      <c r="X55" s="71">
        <f t="shared" si="21"/>
        <v>-1492.2524533125088</v>
      </c>
      <c r="Y55" s="15"/>
    </row>
    <row r="56" spans="2:25" x14ac:dyDescent="0.3">
      <c r="C56" s="27"/>
      <c r="D56" s="28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15"/>
    </row>
    <row r="57" spans="2:25" x14ac:dyDescent="0.3">
      <c r="C57" s="40" t="s">
        <v>97</v>
      </c>
      <c r="D57" s="41"/>
      <c r="E57" s="42">
        <f t="shared" ref="E57:W57" si="22">SUM(E48:E56)</f>
        <v>-21230</v>
      </c>
      <c r="F57" s="42">
        <f t="shared" si="22"/>
        <v>-33320</v>
      </c>
      <c r="G57" s="42">
        <f t="shared" si="22"/>
        <v>-20220</v>
      </c>
      <c r="H57" s="42">
        <f t="shared" si="22"/>
        <v>-15340</v>
      </c>
      <c r="I57" s="42">
        <f t="shared" si="22"/>
        <v>-12680</v>
      </c>
      <c r="J57" s="42">
        <f t="shared" si="22"/>
        <v>-12340</v>
      </c>
      <c r="K57" s="42">
        <f t="shared" si="22"/>
        <v>-11820</v>
      </c>
      <c r="L57" s="42">
        <f t="shared" si="22"/>
        <v>-17620</v>
      </c>
      <c r="M57" s="42">
        <f t="shared" si="22"/>
        <v>-15003.333333333334</v>
      </c>
      <c r="N57" s="42">
        <f t="shared" si="22"/>
        <v>-14133.888888888889</v>
      </c>
      <c r="O57" s="42">
        <f t="shared" si="22"/>
        <v>-13932.87037037037</v>
      </c>
      <c r="P57" s="42">
        <f t="shared" si="22"/>
        <v>-14141.682098765432</v>
      </c>
      <c r="Q57" s="42">
        <f t="shared" si="22"/>
        <v>-14441.962448559669</v>
      </c>
      <c r="R57" s="42">
        <f t="shared" si="22"/>
        <v>-14878.956189986282</v>
      </c>
      <c r="S57" s="42">
        <f t="shared" si="22"/>
        <v>-14422.115554983995</v>
      </c>
      <c r="T57" s="42">
        <f t="shared" si="22"/>
        <v>-14325.245925259107</v>
      </c>
      <c r="U57" s="42">
        <f t="shared" si="22"/>
        <v>-14357.138764654143</v>
      </c>
      <c r="V57" s="42">
        <f t="shared" si="22"/>
        <v>-14427.85016370144</v>
      </c>
      <c r="W57" s="42">
        <f t="shared" si="22"/>
        <v>-14475.544841190773</v>
      </c>
      <c r="X57" s="42">
        <f t="shared" ref="X57" si="23">SUM(X48:X56)</f>
        <v>-14481.141906629291</v>
      </c>
      <c r="Y57" s="15"/>
    </row>
    <row r="58" spans="2:25" x14ac:dyDescent="0.3">
      <c r="D58" s="28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15"/>
    </row>
    <row r="59" spans="2:25" x14ac:dyDescent="0.3">
      <c r="C59" s="44" t="s">
        <v>53</v>
      </c>
      <c r="D59" s="45"/>
      <c r="E59" s="46">
        <f t="shared" ref="E59:W59" si="24">SUM(E21,E45,E57)</f>
        <v>-135370</v>
      </c>
      <c r="F59" s="46">
        <f t="shared" si="24"/>
        <v>-36120</v>
      </c>
      <c r="G59" s="46">
        <f t="shared" si="24"/>
        <v>65020</v>
      </c>
      <c r="H59" s="46">
        <f t="shared" si="24"/>
        <v>-195750</v>
      </c>
      <c r="I59" s="46">
        <f t="shared" si="24"/>
        <v>281900</v>
      </c>
      <c r="J59" s="46">
        <f t="shared" si="24"/>
        <v>-110100</v>
      </c>
      <c r="K59" s="46">
        <f t="shared" si="24"/>
        <v>-106220</v>
      </c>
      <c r="L59" s="46">
        <f t="shared" si="24"/>
        <v>51268.333333333328</v>
      </c>
      <c r="M59" s="46">
        <f t="shared" si="24"/>
        <v>328923.05555555556</v>
      </c>
      <c r="N59" s="46">
        <f t="shared" si="24"/>
        <v>21996.898148148139</v>
      </c>
      <c r="O59" s="46">
        <f t="shared" si="24"/>
        <v>-25001.952160493827</v>
      </c>
      <c r="P59" s="46">
        <f t="shared" si="24"/>
        <v>-57993.944187242814</v>
      </c>
      <c r="Q59" s="46">
        <f t="shared" si="24"/>
        <v>162827.06511488339</v>
      </c>
      <c r="R59" s="46">
        <f t="shared" si="24"/>
        <v>19569.909300697291</v>
      </c>
      <c r="S59" s="46">
        <f t="shared" si="24"/>
        <v>-274646.49470474204</v>
      </c>
      <c r="T59" s="46">
        <f t="shared" si="24"/>
        <v>-143408.08641479167</v>
      </c>
      <c r="U59" s="46">
        <f t="shared" si="24"/>
        <v>-208942.25050861493</v>
      </c>
      <c r="V59" s="46">
        <f t="shared" si="24"/>
        <v>165967.69976669824</v>
      </c>
      <c r="W59" s="46">
        <f t="shared" si="24"/>
        <v>-287205.3595743117</v>
      </c>
      <c r="X59" s="46">
        <f t="shared" ref="X59" si="25">SUM(X21,X45,X57)</f>
        <v>-59244.097022510789</v>
      </c>
      <c r="Y59" s="15"/>
    </row>
  </sheetData>
  <conditionalFormatting sqref="D2">
    <cfRule type="cellIs" dxfId="9" priority="1" operator="notEqual">
      <formula>0</formula>
    </cfRule>
    <cfRule type="cellIs" dxfId="8" priority="2" operator="equal">
      <formula>0</formula>
    </cfRule>
  </conditionalFormatting>
  <conditionalFormatting sqref="D4:X4">
    <cfRule type="cellIs" dxfId="7" priority="3" operator="equal">
      <formula>"forecast"</formula>
    </cfRule>
    <cfRule type="cellIs" dxfId="6" priority="4" operator="equal">
      <formula>"actual"</formula>
    </cfRule>
  </conditionalFormatting>
  <conditionalFormatting sqref="D12:X12">
    <cfRule type="cellIs" dxfId="5" priority="5" operator="lessThan">
      <formula>0</formula>
    </cfRule>
  </conditionalFormatting>
  <pageMargins left="0" right="0" top="0" bottom="0" header="0" footer="0"/>
  <pageSetup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4AB6-7BC4-4092-856D-587389FE1E1F}">
  <sheetPr>
    <tabColor theme="4"/>
    <pageSetUpPr fitToPage="1"/>
  </sheetPr>
  <dimension ref="B1:X59"/>
  <sheetViews>
    <sheetView showGridLines="0" zoomScaleNormal="100" zoomScaleSheetLayoutView="100" workbookViewId="0">
      <pane xSplit="4" ySplit="16" topLeftCell="E17" activePane="bottomRight" state="frozen"/>
      <selection activeCell="J2" sqref="J2"/>
      <selection pane="topRight" activeCell="J2" sqref="J2"/>
      <selection pane="bottomLeft" activeCell="J2" sqref="J2"/>
      <selection pane="bottomRight" activeCell="E17" sqref="E17"/>
    </sheetView>
  </sheetViews>
  <sheetFormatPr defaultRowHeight="13" x14ac:dyDescent="0.3"/>
  <cols>
    <col min="1" max="1" width="2.69921875" customWidth="1"/>
    <col min="2" max="2" width="31.09765625" style="4" bestFit="1" customWidth="1"/>
    <col min="3" max="3" width="31.09765625" bestFit="1" customWidth="1"/>
    <col min="4" max="4" width="25.69921875" style="24" customWidth="1"/>
    <col min="5" max="24" width="10.69921875" customWidth="1"/>
  </cols>
  <sheetData>
    <row r="1" spans="2:24" x14ac:dyDescent="0.3">
      <c r="E1" t="s">
        <v>43</v>
      </c>
    </row>
    <row r="2" spans="2:24" x14ac:dyDescent="0.3">
      <c r="C2" t="s">
        <v>98</v>
      </c>
      <c r="D2" s="48">
        <f>'Error Checking'!$B$2</f>
        <v>0</v>
      </c>
    </row>
    <row r="4" spans="2:24" x14ac:dyDescent="0.3">
      <c r="C4" s="12" t="s">
        <v>44</v>
      </c>
      <c r="D4" s="13"/>
      <c r="E4" s="14" t="s">
        <v>45</v>
      </c>
      <c r="F4" s="14" t="s">
        <v>45</v>
      </c>
      <c r="G4" s="14" t="s">
        <v>45</v>
      </c>
      <c r="H4" s="14" t="s">
        <v>45</v>
      </c>
      <c r="I4" s="14" t="s">
        <v>45</v>
      </c>
      <c r="J4" s="14" t="s">
        <v>45</v>
      </c>
      <c r="K4" s="14" t="s">
        <v>46</v>
      </c>
      <c r="L4" s="14" t="s">
        <v>46</v>
      </c>
      <c r="M4" s="14" t="s">
        <v>46</v>
      </c>
      <c r="N4" s="14" t="s">
        <v>46</v>
      </c>
      <c r="O4" s="14" t="s">
        <v>46</v>
      </c>
      <c r="P4" s="14" t="s">
        <v>46</v>
      </c>
      <c r="Q4" s="14" t="s">
        <v>46</v>
      </c>
      <c r="R4" s="14" t="s">
        <v>46</v>
      </c>
      <c r="S4" s="14" t="s">
        <v>46</v>
      </c>
      <c r="T4" s="14" t="s">
        <v>46</v>
      </c>
      <c r="U4" s="14" t="s">
        <v>46</v>
      </c>
      <c r="V4" s="14" t="s">
        <v>46</v>
      </c>
      <c r="W4" s="14" t="s">
        <v>46</v>
      </c>
      <c r="X4" s="15"/>
    </row>
    <row r="5" spans="2:24" x14ac:dyDescent="0.3">
      <c r="C5" s="12" t="s">
        <v>47</v>
      </c>
      <c r="D5" s="13"/>
      <c r="E5" s="16">
        <v>1</v>
      </c>
      <c r="F5" s="14">
        <f>E5+1</f>
        <v>2</v>
      </c>
      <c r="G5" s="14">
        <f t="shared" ref="G5:W5" si="0">F5+1</f>
        <v>3</v>
      </c>
      <c r="H5" s="14">
        <f t="shared" si="0"/>
        <v>4</v>
      </c>
      <c r="I5" s="14">
        <f t="shared" si="0"/>
        <v>5</v>
      </c>
      <c r="J5" s="14">
        <f t="shared" si="0"/>
        <v>6</v>
      </c>
      <c r="K5" s="14">
        <f t="shared" si="0"/>
        <v>7</v>
      </c>
      <c r="L5" s="14">
        <f t="shared" si="0"/>
        <v>8</v>
      </c>
      <c r="M5" s="14">
        <f t="shared" si="0"/>
        <v>9</v>
      </c>
      <c r="N5" s="14">
        <f t="shared" si="0"/>
        <v>10</v>
      </c>
      <c r="O5" s="14">
        <f t="shared" si="0"/>
        <v>11</v>
      </c>
      <c r="P5" s="14">
        <f t="shared" si="0"/>
        <v>12</v>
      </c>
      <c r="Q5" s="14">
        <f t="shared" si="0"/>
        <v>13</v>
      </c>
      <c r="R5" s="14">
        <f t="shared" si="0"/>
        <v>14</v>
      </c>
      <c r="S5" s="14">
        <f t="shared" si="0"/>
        <v>15</v>
      </c>
      <c r="T5" s="14">
        <f t="shared" si="0"/>
        <v>16</v>
      </c>
      <c r="U5" s="14">
        <f t="shared" si="0"/>
        <v>17</v>
      </c>
      <c r="V5" s="14">
        <f t="shared" si="0"/>
        <v>18</v>
      </c>
      <c r="W5" s="14">
        <f t="shared" si="0"/>
        <v>19</v>
      </c>
      <c r="X5" s="15"/>
    </row>
    <row r="6" spans="2:24" x14ac:dyDescent="0.3">
      <c r="C6" s="12" t="s">
        <v>48</v>
      </c>
      <c r="D6" s="17"/>
      <c r="E6" s="18">
        <v>45221</v>
      </c>
      <c r="F6" s="19">
        <f t="shared" ref="F6:W6" si="1">E7+1</f>
        <v>45228</v>
      </c>
      <c r="G6" s="19">
        <f t="shared" si="1"/>
        <v>45235</v>
      </c>
      <c r="H6" s="19">
        <f t="shared" si="1"/>
        <v>45242</v>
      </c>
      <c r="I6" s="19">
        <f t="shared" si="1"/>
        <v>45249</v>
      </c>
      <c r="J6" s="19">
        <f t="shared" si="1"/>
        <v>45256</v>
      </c>
      <c r="K6" s="19">
        <f t="shared" si="1"/>
        <v>45263</v>
      </c>
      <c r="L6" s="19">
        <f t="shared" si="1"/>
        <v>45270</v>
      </c>
      <c r="M6" s="19">
        <f t="shared" si="1"/>
        <v>45277</v>
      </c>
      <c r="N6" s="19">
        <f t="shared" si="1"/>
        <v>45284</v>
      </c>
      <c r="O6" s="19">
        <f t="shared" si="1"/>
        <v>45291</v>
      </c>
      <c r="P6" s="19">
        <f t="shared" si="1"/>
        <v>45298</v>
      </c>
      <c r="Q6" s="19">
        <f t="shared" si="1"/>
        <v>45305</v>
      </c>
      <c r="R6" s="19">
        <f t="shared" si="1"/>
        <v>45312</v>
      </c>
      <c r="S6" s="19">
        <f t="shared" si="1"/>
        <v>45319</v>
      </c>
      <c r="T6" s="19">
        <f t="shared" si="1"/>
        <v>45326</v>
      </c>
      <c r="U6" s="19">
        <f t="shared" si="1"/>
        <v>45333</v>
      </c>
      <c r="V6" s="19">
        <f t="shared" si="1"/>
        <v>45340</v>
      </c>
      <c r="W6" s="19">
        <f t="shared" si="1"/>
        <v>45347</v>
      </c>
      <c r="X6" s="15"/>
    </row>
    <row r="7" spans="2:24" ht="14.5" x14ac:dyDescent="0.45">
      <c r="B7" s="85" t="s">
        <v>265</v>
      </c>
      <c r="C7" s="20" t="s">
        <v>28</v>
      </c>
      <c r="D7" s="21" t="s">
        <v>49</v>
      </c>
      <c r="E7" s="22">
        <f>E6+6</f>
        <v>45227</v>
      </c>
      <c r="F7" s="22">
        <f t="shared" ref="F7:W7" si="2">F6+6</f>
        <v>45234</v>
      </c>
      <c r="G7" s="22">
        <f t="shared" si="2"/>
        <v>45241</v>
      </c>
      <c r="H7" s="22">
        <f t="shared" si="2"/>
        <v>45248</v>
      </c>
      <c r="I7" s="22">
        <f t="shared" si="2"/>
        <v>45255</v>
      </c>
      <c r="J7" s="22">
        <f t="shared" si="2"/>
        <v>45262</v>
      </c>
      <c r="K7" s="22">
        <f t="shared" si="2"/>
        <v>45269</v>
      </c>
      <c r="L7" s="22">
        <f t="shared" si="2"/>
        <v>45276</v>
      </c>
      <c r="M7" s="22">
        <f t="shared" si="2"/>
        <v>45283</v>
      </c>
      <c r="N7" s="22">
        <f t="shared" si="2"/>
        <v>45290</v>
      </c>
      <c r="O7" s="22">
        <f t="shared" si="2"/>
        <v>45297</v>
      </c>
      <c r="P7" s="22">
        <f t="shared" si="2"/>
        <v>45304</v>
      </c>
      <c r="Q7" s="22">
        <f t="shared" si="2"/>
        <v>45311</v>
      </c>
      <c r="R7" s="22">
        <f t="shared" si="2"/>
        <v>45318</v>
      </c>
      <c r="S7" s="22">
        <f t="shared" si="2"/>
        <v>45325</v>
      </c>
      <c r="T7" s="22">
        <f t="shared" si="2"/>
        <v>45332</v>
      </c>
      <c r="U7" s="22">
        <f t="shared" si="2"/>
        <v>45339</v>
      </c>
      <c r="V7" s="22">
        <f t="shared" si="2"/>
        <v>45346</v>
      </c>
      <c r="W7" s="22">
        <f t="shared" si="2"/>
        <v>45353</v>
      </c>
      <c r="X7" s="23" t="s">
        <v>50</v>
      </c>
    </row>
    <row r="8" spans="2:24" x14ac:dyDescent="0.3">
      <c r="X8" s="15"/>
    </row>
    <row r="9" spans="2:24" ht="14.5" x14ac:dyDescent="0.45">
      <c r="C9" s="20" t="s">
        <v>51</v>
      </c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15"/>
    </row>
    <row r="10" spans="2:24" x14ac:dyDescent="0.3">
      <c r="C10" s="27" t="s">
        <v>52</v>
      </c>
      <c r="D10" s="28"/>
      <c r="E10" s="29">
        <v>345580</v>
      </c>
      <c r="F10" s="30">
        <f t="shared" ref="F10:W10" si="3">E12</f>
        <v>210210</v>
      </c>
      <c r="G10" s="30">
        <f t="shared" si="3"/>
        <v>174090</v>
      </c>
      <c r="H10" s="30">
        <f t="shared" si="3"/>
        <v>239110</v>
      </c>
      <c r="I10" s="30">
        <f t="shared" si="3"/>
        <v>43360</v>
      </c>
      <c r="J10" s="30">
        <f t="shared" si="3"/>
        <v>325260</v>
      </c>
      <c r="K10" s="30">
        <f t="shared" si="3"/>
        <v>215160</v>
      </c>
      <c r="L10" s="30">
        <f t="shared" si="3"/>
        <v>112041.66666666667</v>
      </c>
      <c r="M10" s="30">
        <f t="shared" si="3"/>
        <v>156995.27777777778</v>
      </c>
      <c r="N10" s="30">
        <f t="shared" si="3"/>
        <v>399451.15740740742</v>
      </c>
      <c r="O10" s="30">
        <f t="shared" si="3"/>
        <v>415303.01697530865</v>
      </c>
      <c r="P10" s="30">
        <f t="shared" si="3"/>
        <v>382731.85313786007</v>
      </c>
      <c r="Q10" s="30">
        <f t="shared" si="3"/>
        <v>316373.82866083673</v>
      </c>
      <c r="R10" s="30">
        <f t="shared" si="3"/>
        <v>519442.80010430957</v>
      </c>
      <c r="S10" s="30">
        <f t="shared" si="3"/>
        <v>532142.98901058338</v>
      </c>
      <c r="T10" s="30">
        <f t="shared" si="3"/>
        <v>472334.27421605098</v>
      </c>
      <c r="U10" s="30">
        <f t="shared" si="3"/>
        <v>279031.46035082493</v>
      </c>
      <c r="V10" s="30">
        <f t="shared" si="3"/>
        <v>412252.86758007761</v>
      </c>
      <c r="W10" s="30">
        <f t="shared" si="3"/>
        <v>580273.03665378049</v>
      </c>
      <c r="X10" s="15"/>
    </row>
    <row r="11" spans="2:24" x14ac:dyDescent="0.3">
      <c r="C11" s="31" t="s">
        <v>53</v>
      </c>
      <c r="D11" s="28"/>
      <c r="E11" s="30">
        <f>E59</f>
        <v>-135370</v>
      </c>
      <c r="F11" s="30">
        <f t="shared" ref="F11:W11" si="4">F59</f>
        <v>-36120</v>
      </c>
      <c r="G11" s="30">
        <f t="shared" si="4"/>
        <v>65020</v>
      </c>
      <c r="H11" s="30">
        <f t="shared" si="4"/>
        <v>-195750</v>
      </c>
      <c r="I11" s="30">
        <f t="shared" si="4"/>
        <v>281900</v>
      </c>
      <c r="J11" s="30">
        <f t="shared" si="4"/>
        <v>-110100</v>
      </c>
      <c r="K11" s="30">
        <f t="shared" si="4"/>
        <v>-103118.33333333333</v>
      </c>
      <c r="L11" s="30">
        <f t="shared" si="4"/>
        <v>44953.611111111117</v>
      </c>
      <c r="M11" s="30">
        <f t="shared" si="4"/>
        <v>242455.87962962964</v>
      </c>
      <c r="N11" s="30">
        <f t="shared" si="4"/>
        <v>15851.859567901229</v>
      </c>
      <c r="O11" s="30">
        <f t="shared" si="4"/>
        <v>-32571.163837448566</v>
      </c>
      <c r="P11" s="30">
        <f t="shared" si="4"/>
        <v>-66358.024477023326</v>
      </c>
      <c r="Q11" s="30">
        <f t="shared" si="4"/>
        <v>203068.97144347281</v>
      </c>
      <c r="R11" s="30">
        <f t="shared" si="4"/>
        <v>12700.188906273816</v>
      </c>
      <c r="S11" s="30">
        <f t="shared" si="4"/>
        <v>-59808.714794532381</v>
      </c>
      <c r="T11" s="30">
        <f t="shared" si="4"/>
        <v>-193302.81386522605</v>
      </c>
      <c r="U11" s="30">
        <f t="shared" si="4"/>
        <v>133221.40722925268</v>
      </c>
      <c r="V11" s="30">
        <f t="shared" si="4"/>
        <v>168020.16907370291</v>
      </c>
      <c r="W11" s="30">
        <f t="shared" si="4"/>
        <v>-289083.46533450938</v>
      </c>
      <c r="X11" s="15"/>
    </row>
    <row r="12" spans="2:24" x14ac:dyDescent="0.3">
      <c r="B12" s="4" t="s">
        <v>54</v>
      </c>
      <c r="C12" s="32" t="s">
        <v>54</v>
      </c>
      <c r="D12" s="33"/>
      <c r="E12" s="34">
        <f t="shared" ref="E12:V12" si="5">SUM(E10:E11)</f>
        <v>210210</v>
      </c>
      <c r="F12" s="34">
        <f t="shared" si="5"/>
        <v>174090</v>
      </c>
      <c r="G12" s="34">
        <f t="shared" si="5"/>
        <v>239110</v>
      </c>
      <c r="H12" s="34">
        <f t="shared" si="5"/>
        <v>43360</v>
      </c>
      <c r="I12" s="34">
        <f t="shared" si="5"/>
        <v>325260</v>
      </c>
      <c r="J12" s="34">
        <f t="shared" si="5"/>
        <v>215160</v>
      </c>
      <c r="K12" s="34">
        <f t="shared" si="5"/>
        <v>112041.66666666667</v>
      </c>
      <c r="L12" s="34">
        <f t="shared" si="5"/>
        <v>156995.27777777778</v>
      </c>
      <c r="M12" s="34">
        <f t="shared" si="5"/>
        <v>399451.15740740742</v>
      </c>
      <c r="N12" s="34">
        <f t="shared" si="5"/>
        <v>415303.01697530865</v>
      </c>
      <c r="O12" s="34">
        <f t="shared" si="5"/>
        <v>382731.85313786007</v>
      </c>
      <c r="P12" s="34">
        <f t="shared" si="5"/>
        <v>316373.82866083673</v>
      </c>
      <c r="Q12" s="34">
        <f t="shared" si="5"/>
        <v>519442.80010430957</v>
      </c>
      <c r="R12" s="34">
        <f t="shared" si="5"/>
        <v>532142.98901058338</v>
      </c>
      <c r="S12" s="34">
        <f t="shared" si="5"/>
        <v>472334.27421605098</v>
      </c>
      <c r="T12" s="34">
        <f t="shared" si="5"/>
        <v>279031.46035082493</v>
      </c>
      <c r="U12" s="34">
        <f t="shared" si="5"/>
        <v>412252.86758007761</v>
      </c>
      <c r="V12" s="34">
        <f t="shared" si="5"/>
        <v>580273.03665378049</v>
      </c>
      <c r="W12" s="34">
        <f t="shared" ref="W12" si="6">SUM(W10:W11)</f>
        <v>291189.57131927111</v>
      </c>
      <c r="X12" s="15"/>
    </row>
    <row r="13" spans="2:24" x14ac:dyDescent="0.3">
      <c r="C13" s="27" t="s">
        <v>55</v>
      </c>
      <c r="D13" s="28"/>
      <c r="E13" s="29">
        <v>210210</v>
      </c>
      <c r="F13" s="29">
        <v>174090</v>
      </c>
      <c r="G13" s="29">
        <v>239110</v>
      </c>
      <c r="H13" s="29">
        <v>43360</v>
      </c>
      <c r="I13" s="29">
        <v>325260</v>
      </c>
      <c r="J13" s="29">
        <v>215160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15"/>
    </row>
    <row r="14" spans="2:24" x14ac:dyDescent="0.3">
      <c r="C14" s="27" t="s">
        <v>56</v>
      </c>
      <c r="D14" s="28"/>
      <c r="E14" s="35">
        <f>IF(E$4="Forecast",0,E13-E12)</f>
        <v>0</v>
      </c>
      <c r="F14" s="35">
        <f t="shared" ref="F14:W14" si="7">IF(F$4="Forecast",0,F13-F12)</f>
        <v>0</v>
      </c>
      <c r="G14" s="35">
        <f t="shared" si="7"/>
        <v>0</v>
      </c>
      <c r="H14" s="35">
        <f t="shared" si="7"/>
        <v>0</v>
      </c>
      <c r="I14" s="35">
        <f t="shared" si="7"/>
        <v>0</v>
      </c>
      <c r="J14" s="35">
        <f t="shared" si="7"/>
        <v>0</v>
      </c>
      <c r="K14" s="35">
        <f t="shared" si="7"/>
        <v>0</v>
      </c>
      <c r="L14" s="35">
        <f t="shared" si="7"/>
        <v>0</v>
      </c>
      <c r="M14" s="35">
        <f t="shared" si="7"/>
        <v>0</v>
      </c>
      <c r="N14" s="35">
        <f t="shared" si="7"/>
        <v>0</v>
      </c>
      <c r="O14" s="35">
        <f t="shared" si="7"/>
        <v>0</v>
      </c>
      <c r="P14" s="35">
        <f t="shared" si="7"/>
        <v>0</v>
      </c>
      <c r="Q14" s="35">
        <f t="shared" si="7"/>
        <v>0</v>
      </c>
      <c r="R14" s="35">
        <f t="shared" si="7"/>
        <v>0</v>
      </c>
      <c r="S14" s="35">
        <f t="shared" si="7"/>
        <v>0</v>
      </c>
      <c r="T14" s="35">
        <f t="shared" si="7"/>
        <v>0</v>
      </c>
      <c r="U14" s="35">
        <f t="shared" si="7"/>
        <v>0</v>
      </c>
      <c r="V14" s="35">
        <f t="shared" si="7"/>
        <v>0</v>
      </c>
      <c r="W14" s="35">
        <f t="shared" si="7"/>
        <v>0</v>
      </c>
      <c r="X14" s="15"/>
    </row>
    <row r="15" spans="2:24" x14ac:dyDescent="0.3">
      <c r="C15" s="27" t="s">
        <v>57</v>
      </c>
      <c r="D15" s="28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15"/>
    </row>
    <row r="16" spans="2:24" x14ac:dyDescent="0.3">
      <c r="D16" s="28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15"/>
    </row>
    <row r="17" spans="2:24" ht="14.5" x14ac:dyDescent="0.45">
      <c r="C17" s="20" t="s">
        <v>58</v>
      </c>
      <c r="D17" s="37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15"/>
    </row>
    <row r="18" spans="2:24" x14ac:dyDescent="0.3">
      <c r="B18" s="4" t="s">
        <v>59</v>
      </c>
      <c r="C18" s="27" t="s">
        <v>59</v>
      </c>
      <c r="D18" s="28" t="s">
        <v>233</v>
      </c>
      <c r="E18" s="39">
        <f>SUMIFS(Actuals!$I:$I,Actuals!$A:$A,E$7,Actuals!$C:$C,$C18)</f>
        <v>0</v>
      </c>
      <c r="F18" s="39">
        <f>SUMIFS(Actuals!$I:$I,Actuals!$A:$A,F$7,Actuals!$C:$C,$C18)</f>
        <v>372100</v>
      </c>
      <c r="G18" s="39">
        <f>SUMIFS(Actuals!$I:$I,Actuals!$A:$A,G$7,Actuals!$C:$C,$C18)</f>
        <v>210150</v>
      </c>
      <c r="H18" s="39">
        <f>SUMIFS(Actuals!$I:$I,Actuals!$A:$A,H$7,Actuals!$C:$C,$C18)</f>
        <v>0</v>
      </c>
      <c r="I18" s="39">
        <f>SUMIFS(Actuals!$I:$I,Actuals!$A:$A,I$7,Actuals!$C:$C,$C18)</f>
        <v>361430</v>
      </c>
      <c r="J18" s="39">
        <f>SUMIFS(Actuals!$I:$I,Actuals!$A:$A,J$7,Actuals!$C:$C,$C18)</f>
        <v>68440</v>
      </c>
      <c r="K18" s="69">
        <f>SUMIFS('AR Aging 01'!$B:$B,'AR Aging 01'!$A:$A,K$7)</f>
        <v>330000</v>
      </c>
      <c r="L18" s="69">
        <f>SUMIFS('AR Aging 01'!$B:$B,'AR Aging 01'!$A:$A,L$7)</f>
        <v>120000</v>
      </c>
      <c r="M18" s="69">
        <f>SUMIFS('AR Aging 01'!$B:$B,'AR Aging 01'!$A:$A,M$7)</f>
        <v>454000</v>
      </c>
      <c r="N18" s="69">
        <f>SUMIFS('AR Aging 01'!$B:$B,'AR Aging 01'!$A:$A,N$7)</f>
        <v>80000</v>
      </c>
      <c r="O18" s="69">
        <f>SUMIFS('AR Aging 01'!$B:$B,'AR Aging 01'!$A:$A,O$7)</f>
        <v>100000</v>
      </c>
      <c r="P18" s="69">
        <f>SUMIFS('AR Aging 01'!$B:$B,'AR Aging 01'!$A:$A,P$7)</f>
        <v>0</v>
      </c>
      <c r="Q18" s="69">
        <f>SUMIFS('AR Aging 01'!$B:$B,'AR Aging 01'!$A:$A,Q$7)</f>
        <v>271800</v>
      </c>
      <c r="R18" s="69">
        <f>SUMIFS('AR Aging 01'!$B:$B,'AR Aging 01'!$A:$A,R$7)</f>
        <v>80000</v>
      </c>
      <c r="S18" s="69">
        <f>SUMIFS('AR Aging 01'!$B:$B,'AR Aging 01'!$A:$A,S$7)</f>
        <v>198000</v>
      </c>
      <c r="T18" s="69">
        <f>SUMIFS('AR Aging 01'!$B:$B,'AR Aging 01'!$A:$A,T$7)</f>
        <v>0</v>
      </c>
      <c r="U18" s="69">
        <f>SUMIFS('AR Aging 01'!$B:$B,'AR Aging 01'!$A:$A,U$7)</f>
        <v>250000</v>
      </c>
      <c r="V18" s="69">
        <f>SUMIFS('AR Aging 01'!$B:$B,'AR Aging 01'!$A:$A,V$7)</f>
        <v>325000</v>
      </c>
      <c r="W18" s="69">
        <f>SUMIFS('AR Aging 01'!$B:$B,'AR Aging 01'!$A:$A,W$7)</f>
        <v>0</v>
      </c>
      <c r="X18" s="15"/>
    </row>
    <row r="19" spans="2:24" x14ac:dyDescent="0.3">
      <c r="B19" s="4" t="s">
        <v>59</v>
      </c>
      <c r="C19" s="27" t="s">
        <v>60</v>
      </c>
      <c r="D19" s="28" t="s">
        <v>61</v>
      </c>
      <c r="E19" s="39">
        <f>SUMIFS(Actuals!$I:$I,Actuals!$A:$A,E$7,Actuals!$C:$C,$C19)</f>
        <v>0</v>
      </c>
      <c r="F19" s="39">
        <f>SUMIFS(Actuals!$I:$I,Actuals!$A:$A,F$7,Actuals!$C:$C,$C19)</f>
        <v>0</v>
      </c>
      <c r="G19" s="39">
        <f>SUMIFS(Actuals!$I:$I,Actuals!$A:$A,G$7,Actuals!$C:$C,$C19)</f>
        <v>0</v>
      </c>
      <c r="H19" s="39">
        <f>SUMIFS(Actuals!$I:$I,Actuals!$A:$A,H$7,Actuals!$C:$C,$C19)</f>
        <v>0</v>
      </c>
      <c r="I19" s="39">
        <f>SUMIFS(Actuals!$I:$I,Actuals!$A:$A,I$7,Actuals!$C:$C,$C19)</f>
        <v>0</v>
      </c>
      <c r="J19" s="39">
        <f>SUMIFS(Actuals!$I:$I,Actuals!$A:$A,J$7,Actuals!$C:$C,$C19)</f>
        <v>0</v>
      </c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15"/>
    </row>
    <row r="20" spans="2:24" x14ac:dyDescent="0.3">
      <c r="C20" s="27"/>
      <c r="D20" s="28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15"/>
    </row>
    <row r="21" spans="2:24" x14ac:dyDescent="0.3">
      <c r="C21" s="40" t="s">
        <v>62</v>
      </c>
      <c r="D21" s="41"/>
      <c r="E21" s="42">
        <f t="shared" ref="E21:W21" si="8">SUM(E18:E20)</f>
        <v>0</v>
      </c>
      <c r="F21" s="42">
        <f t="shared" si="8"/>
        <v>372100</v>
      </c>
      <c r="G21" s="42">
        <f t="shared" si="8"/>
        <v>210150</v>
      </c>
      <c r="H21" s="42">
        <f t="shared" si="8"/>
        <v>0</v>
      </c>
      <c r="I21" s="42">
        <f t="shared" si="8"/>
        <v>361430</v>
      </c>
      <c r="J21" s="42">
        <f t="shared" si="8"/>
        <v>68440</v>
      </c>
      <c r="K21" s="42">
        <f t="shared" si="8"/>
        <v>330000</v>
      </c>
      <c r="L21" s="42">
        <f t="shared" si="8"/>
        <v>120000</v>
      </c>
      <c r="M21" s="42">
        <f t="shared" si="8"/>
        <v>454000</v>
      </c>
      <c r="N21" s="42">
        <f t="shared" si="8"/>
        <v>80000</v>
      </c>
      <c r="O21" s="42">
        <f t="shared" si="8"/>
        <v>100000</v>
      </c>
      <c r="P21" s="42">
        <f t="shared" si="8"/>
        <v>0</v>
      </c>
      <c r="Q21" s="42">
        <f t="shared" si="8"/>
        <v>271800</v>
      </c>
      <c r="R21" s="42">
        <f t="shared" si="8"/>
        <v>80000</v>
      </c>
      <c r="S21" s="42">
        <f t="shared" si="8"/>
        <v>198000</v>
      </c>
      <c r="T21" s="42">
        <f t="shared" si="8"/>
        <v>0</v>
      </c>
      <c r="U21" s="42">
        <f t="shared" si="8"/>
        <v>250000</v>
      </c>
      <c r="V21" s="42">
        <f t="shared" si="8"/>
        <v>325000</v>
      </c>
      <c r="W21" s="42">
        <f t="shared" si="8"/>
        <v>0</v>
      </c>
      <c r="X21" s="15"/>
    </row>
    <row r="22" spans="2:24" x14ac:dyDescent="0.3">
      <c r="D22" s="2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15"/>
    </row>
    <row r="23" spans="2:24" ht="14.5" x14ac:dyDescent="0.45">
      <c r="C23" s="20" t="s">
        <v>63</v>
      </c>
      <c r="D23" s="37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15"/>
    </row>
    <row r="24" spans="2:24" x14ac:dyDescent="0.3">
      <c r="B24" s="4" t="s">
        <v>64</v>
      </c>
      <c r="C24" s="27" t="s">
        <v>64</v>
      </c>
      <c r="D24" s="70" t="s">
        <v>234</v>
      </c>
      <c r="E24" s="39">
        <f>SUMIFS(Actuals!$I:$I,Actuals!$A:$A,E$7,Actuals!$C:$C,$C24)</f>
        <v>-33620</v>
      </c>
      <c r="F24" s="39">
        <f>SUMIFS(Actuals!$I:$I,Actuals!$A:$A,F$7,Actuals!$C:$C,$C24)</f>
        <v>-83210</v>
      </c>
      <c r="G24" s="39">
        <f>SUMIFS(Actuals!$I:$I,Actuals!$A:$A,G$7,Actuals!$C:$C,$C24)</f>
        <v>-69810</v>
      </c>
      <c r="H24" s="39">
        <f>SUMIFS(Actuals!$I:$I,Actuals!$A:$A,H$7,Actuals!$C:$C,$C24)</f>
        <v>-40140</v>
      </c>
      <c r="I24" s="39">
        <f>SUMIFS(Actuals!$I:$I,Actuals!$A:$A,I$7,Actuals!$C:$C,$C24)</f>
        <v>-18680</v>
      </c>
      <c r="J24" s="39">
        <f>SUMIFS(Actuals!$I:$I,Actuals!$A:$A,J$7,Actuals!$C:$C,$C24)</f>
        <v>-88580</v>
      </c>
      <c r="K24" s="69">
        <f>-SUMIFS('AP Aging 01'!$B:$B,'AP Aging 01'!$A:$A,K$7,'AP Aging 01'!$D:$D,"&lt;&gt;Yes")</f>
        <v>-800</v>
      </c>
      <c r="L24" s="69">
        <f>-SUMIFS('AP Aging 01'!$B:$B,'AP Aging 01'!$A:$A,L$7,'AP Aging 01'!$D:$D,"&lt;&gt;Yes")</f>
        <v>-1800</v>
      </c>
      <c r="M24" s="69">
        <f>-SUMIFS('AP Aging 01'!$B:$B,'AP Aging 01'!$A:$A,M$7,'AP Aging 01'!$D:$D,"&lt;&gt;Yes")</f>
        <v>-145800</v>
      </c>
      <c r="N24" s="69">
        <f>-SUMIFS('AP Aging 01'!$B:$B,'AP Aging 01'!$A:$A,N$7,'AP Aging 01'!$D:$D,"&lt;&gt;Yes")</f>
        <v>0</v>
      </c>
      <c r="O24" s="69">
        <f>-SUMIFS('AP Aging 01'!$B:$B,'AP Aging 01'!$A:$A,O$7,'AP Aging 01'!$D:$D,"&lt;&gt;Yes")</f>
        <v>0</v>
      </c>
      <c r="P24" s="69">
        <f>-SUMIFS('AP Aging 01'!$B:$B,'AP Aging 01'!$A:$A,P$7,'AP Aging 01'!$D:$D,"&lt;&gt;Yes")</f>
        <v>0</v>
      </c>
      <c r="Q24" s="69">
        <f>-SUMIFS('AP Aging 01'!$B:$B,'AP Aging 01'!$A:$A,Q$7,'AP Aging 01'!$D:$D,"&lt;&gt;Yes")</f>
        <v>0</v>
      </c>
      <c r="R24" s="69">
        <f>-SUMIFS('AP Aging 01'!$B:$B,'AP Aging 01'!$A:$A,R$7,'AP Aging 01'!$D:$D,"&lt;&gt;Yes")</f>
        <v>0</v>
      </c>
      <c r="S24" s="69">
        <f>-SUMIFS('AP Aging 01'!$B:$B,'AP Aging 01'!$A:$A,S$7,'AP Aging 01'!$D:$D,"&lt;&gt;Yes")</f>
        <v>0</v>
      </c>
      <c r="T24" s="69">
        <f>-SUMIFS('AP Aging 01'!$B:$B,'AP Aging 01'!$A:$A,T$7,'AP Aging 01'!$D:$D,"&lt;&gt;Yes")</f>
        <v>-126900</v>
      </c>
      <c r="U24" s="69">
        <f>-SUMIFS('AP Aging 01'!$B:$B,'AP Aging 01'!$A:$A,U$7,'AP Aging 01'!$D:$D,"&lt;&gt;Yes")</f>
        <v>-50000</v>
      </c>
      <c r="V24" s="69">
        <f>-SUMIFS('AP Aging 01'!$B:$B,'AP Aging 01'!$A:$A,V$7,'AP Aging 01'!$D:$D,"&lt;&gt;Yes")</f>
        <v>-90000</v>
      </c>
      <c r="W24" s="69">
        <f>-SUMIFS('AP Aging 01'!$B:$B,'AP Aging 01'!$A:$A,W$7,'AP Aging 01'!$D:$D,"&lt;&gt;Yes")</f>
        <v>0</v>
      </c>
      <c r="X24" s="15"/>
    </row>
    <row r="25" spans="2:24" x14ac:dyDescent="0.3">
      <c r="B25" s="4" t="s">
        <v>65</v>
      </c>
      <c r="C25" s="27" t="s">
        <v>65</v>
      </c>
      <c r="D25" s="70" t="s">
        <v>234</v>
      </c>
      <c r="E25" s="39">
        <f>SUMIFS(Actuals!$I:$I,Actuals!$A:$A,E$7,Actuals!$C:$C,$C25)</f>
        <v>0</v>
      </c>
      <c r="F25" s="39">
        <f>SUMIFS(Actuals!$I:$I,Actuals!$A:$A,F$7,Actuals!$C:$C,$C25)</f>
        <v>-194090</v>
      </c>
      <c r="G25" s="39">
        <f>SUMIFS(Actuals!$I:$I,Actuals!$A:$A,G$7,Actuals!$C:$C,$C25)</f>
        <v>0</v>
      </c>
      <c r="H25" s="39">
        <f>SUMIFS(Actuals!$I:$I,Actuals!$A:$A,H$7,Actuals!$C:$C,$C25)</f>
        <v>-100000</v>
      </c>
      <c r="I25" s="39">
        <f>SUMIFS(Actuals!$I:$I,Actuals!$A:$A,I$7,Actuals!$C:$C,$C25)</f>
        <v>0</v>
      </c>
      <c r="J25" s="39">
        <f>SUMIFS(Actuals!$I:$I,Actuals!$A:$A,J$7,Actuals!$C:$C,$C25)</f>
        <v>-32000</v>
      </c>
      <c r="K25" s="69">
        <f>-SUMIFS('AP Aging 01'!$B:$B,'AP Aging 01'!$A:$A,K$7,'AP Aging 01'!$D:$D,"Yes")</f>
        <v>-350000</v>
      </c>
      <c r="L25" s="69">
        <f>-SUMIFS('AP Aging 01'!$B:$B,'AP Aging 01'!$A:$A,L$7,'AP Aging 01'!$D:$D,"Yes")</f>
        <v>0</v>
      </c>
      <c r="M25" s="69">
        <f>-SUMIFS('AP Aging 01'!$B:$B,'AP Aging 01'!$A:$A,M$7,'AP Aging 01'!$D:$D,"Yes")</f>
        <v>0</v>
      </c>
      <c r="N25" s="69">
        <f>-SUMIFS('AP Aging 01'!$B:$B,'AP Aging 01'!$A:$A,N$7,'AP Aging 01'!$D:$D,"Yes")</f>
        <v>0</v>
      </c>
      <c r="O25" s="69">
        <f>-SUMIFS('AP Aging 01'!$B:$B,'AP Aging 01'!$A:$A,O$7,'AP Aging 01'!$D:$D,"Yes")</f>
        <v>-55000</v>
      </c>
      <c r="P25" s="69">
        <f>-SUMIFS('AP Aging 01'!$B:$B,'AP Aging 01'!$A:$A,P$7,'AP Aging 01'!$D:$D,"Yes")</f>
        <v>0</v>
      </c>
      <c r="Q25" s="69">
        <f>-SUMIFS('AP Aging 01'!$B:$B,'AP Aging 01'!$A:$A,Q$7,'AP Aging 01'!$D:$D,"Yes")</f>
        <v>0</v>
      </c>
      <c r="R25" s="69">
        <f>-SUMIFS('AP Aging 01'!$B:$B,'AP Aging 01'!$A:$A,R$7,'AP Aging 01'!$D:$D,"Yes")</f>
        <v>0</v>
      </c>
      <c r="S25" s="69">
        <f>-SUMIFS('AP Aging 01'!$B:$B,'AP Aging 01'!$A:$A,S$7,'AP Aging 01'!$D:$D,"Yes")</f>
        <v>-179500</v>
      </c>
      <c r="T25" s="69">
        <f>-SUMIFS('AP Aging 01'!$B:$B,'AP Aging 01'!$A:$A,T$7,'AP Aging 01'!$D:$D,"Yes")</f>
        <v>0</v>
      </c>
      <c r="U25" s="69">
        <f>-SUMIFS('AP Aging 01'!$B:$B,'AP Aging 01'!$A:$A,U$7,'AP Aging 01'!$D:$D,"Yes")</f>
        <v>0</v>
      </c>
      <c r="V25" s="69">
        <f>-SUMIFS('AP Aging 01'!$B:$B,'AP Aging 01'!$A:$A,V$7,'AP Aging 01'!$D:$D,"Yes")</f>
        <v>0</v>
      </c>
      <c r="W25" s="69">
        <f>-SUMIFS('AP Aging 01'!$B:$B,'AP Aging 01'!$A:$A,W$7,'AP Aging 01'!$D:$D,"Yes")</f>
        <v>-210000</v>
      </c>
      <c r="X25" s="15"/>
    </row>
    <row r="26" spans="2:24" x14ac:dyDescent="0.3">
      <c r="B26" s="4" t="s">
        <v>266</v>
      </c>
      <c r="C26" s="27" t="s">
        <v>66</v>
      </c>
      <c r="D26" s="28" t="s">
        <v>67</v>
      </c>
      <c r="E26" s="39">
        <f>SUMIFS(Actuals!$I:$I,Actuals!$A:$A,E$7,Actuals!$C:$C,$C26)</f>
        <v>-77830</v>
      </c>
      <c r="F26" s="39">
        <f>SUMIFS(Actuals!$I:$I,Actuals!$A:$A,F$7,Actuals!$C:$C,$C26)</f>
        <v>-78050</v>
      </c>
      <c r="G26" s="39">
        <f>SUMIFS(Actuals!$I:$I,Actuals!$A:$A,G$7,Actuals!$C:$C,$C26)</f>
        <v>-51670</v>
      </c>
      <c r="H26" s="39">
        <f>SUMIFS(Actuals!$I:$I,Actuals!$A:$A,H$7,Actuals!$C:$C,$C26)</f>
        <v>-39960</v>
      </c>
      <c r="I26" s="39">
        <f>SUMIFS(Actuals!$I:$I,Actuals!$A:$A,I$7,Actuals!$C:$C,$C26)</f>
        <v>-44380</v>
      </c>
      <c r="J26" s="39">
        <f>SUMIFS(Actuals!$I:$I,Actuals!$A:$A,J$7,Actuals!$C:$C,$C26)</f>
        <v>-35340</v>
      </c>
      <c r="K26" s="71">
        <f>AVERAGE(E26:J26)</f>
        <v>-54538.333333333336</v>
      </c>
      <c r="L26" s="71">
        <f t="shared" ref="L26:W26" si="9">AVERAGE(F26:K26)</f>
        <v>-50656.388888888883</v>
      </c>
      <c r="M26" s="71">
        <f t="shared" si="9"/>
        <v>-46090.787037037044</v>
      </c>
      <c r="N26" s="71">
        <f t="shared" si="9"/>
        <v>-45160.918209876545</v>
      </c>
      <c r="O26" s="71">
        <f t="shared" si="9"/>
        <v>-46027.737911522643</v>
      </c>
      <c r="P26" s="71">
        <f t="shared" si="9"/>
        <v>-46302.360896776408</v>
      </c>
      <c r="Q26" s="71">
        <f t="shared" si="9"/>
        <v>-48129.421046239149</v>
      </c>
      <c r="R26" s="71">
        <f t="shared" si="9"/>
        <v>-47061.268998390115</v>
      </c>
      <c r="S26" s="71">
        <f t="shared" si="9"/>
        <v>-46462.082349973651</v>
      </c>
      <c r="T26" s="71">
        <f t="shared" si="9"/>
        <v>-46523.964902129752</v>
      </c>
      <c r="U26" s="71">
        <f t="shared" si="9"/>
        <v>-46751.139350838617</v>
      </c>
      <c r="V26" s="71">
        <f t="shared" si="9"/>
        <v>-46871.706257391284</v>
      </c>
      <c r="W26" s="71">
        <f t="shared" si="9"/>
        <v>-46966.597150827096</v>
      </c>
      <c r="X26" s="15"/>
    </row>
    <row r="27" spans="2:24" x14ac:dyDescent="0.3">
      <c r="B27" s="4" t="s">
        <v>266</v>
      </c>
      <c r="C27" s="27" t="s">
        <v>68</v>
      </c>
      <c r="D27" s="28" t="s">
        <v>61</v>
      </c>
      <c r="E27" s="39">
        <f>SUMIFS(Actuals!$I:$I,Actuals!$A:$A,E$7,Actuals!$C:$C,$C27)</f>
        <v>0</v>
      </c>
      <c r="F27" s="39">
        <f>SUMIFS(Actuals!$I:$I,Actuals!$A:$A,F$7,Actuals!$C:$C,$C27)</f>
        <v>0</v>
      </c>
      <c r="G27" s="39">
        <f>SUMIFS(Actuals!$I:$I,Actuals!$A:$A,G$7,Actuals!$C:$C,$C27)</f>
        <v>0</v>
      </c>
      <c r="H27" s="39">
        <f>SUMIFS(Actuals!$I:$I,Actuals!$A:$A,H$7,Actuals!$C:$C,$C27)</f>
        <v>0</v>
      </c>
      <c r="I27" s="39">
        <f>SUMIFS(Actuals!$I:$I,Actuals!$A:$A,I$7,Actuals!$C:$C,$C27)</f>
        <v>0</v>
      </c>
      <c r="J27" s="39">
        <f>SUMIFS(Actuals!$I:$I,Actuals!$A:$A,J$7,Actuals!$C:$C,$C27)</f>
        <v>0</v>
      </c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15"/>
    </row>
    <row r="28" spans="2:24" x14ac:dyDescent="0.3">
      <c r="B28" s="4" t="s">
        <v>266</v>
      </c>
      <c r="C28" s="27" t="s">
        <v>69</v>
      </c>
      <c r="D28" s="28" t="s">
        <v>67</v>
      </c>
      <c r="E28" s="39">
        <f>SUMIFS(Actuals!$I:$I,Actuals!$A:$A,E$7,Actuals!$C:$C,$C28)</f>
        <v>-310</v>
      </c>
      <c r="F28" s="39">
        <f>SUMIFS(Actuals!$I:$I,Actuals!$A:$A,F$7,Actuals!$C:$C,$C28)</f>
        <v>-310</v>
      </c>
      <c r="G28" s="39">
        <f>SUMIFS(Actuals!$I:$I,Actuals!$A:$A,G$7,Actuals!$C:$C,$C28)</f>
        <v>-310</v>
      </c>
      <c r="H28" s="39">
        <f>SUMIFS(Actuals!$I:$I,Actuals!$A:$A,H$7,Actuals!$C:$C,$C28)</f>
        <v>-310</v>
      </c>
      <c r="I28" s="39">
        <f>SUMIFS(Actuals!$I:$I,Actuals!$A:$A,I$7,Actuals!$C:$C,$C28)</f>
        <v>-310</v>
      </c>
      <c r="J28" s="39">
        <f>SUMIFS(Actuals!$I:$I,Actuals!$A:$A,J$7,Actuals!$C:$C,$C28)</f>
        <v>-310</v>
      </c>
      <c r="K28" s="71">
        <f>AVERAGE(E28:J28)</f>
        <v>-310</v>
      </c>
      <c r="L28" s="71">
        <f t="shared" ref="L28" si="10">AVERAGE(F28:K28)</f>
        <v>-310</v>
      </c>
      <c r="M28" s="71">
        <f t="shared" ref="M28" si="11">AVERAGE(G28:L28)</f>
        <v>-310</v>
      </c>
      <c r="N28" s="71">
        <f t="shared" ref="N28" si="12">AVERAGE(H28:M28)</f>
        <v>-310</v>
      </c>
      <c r="O28" s="71">
        <f t="shared" ref="O28" si="13">AVERAGE(I28:N28)</f>
        <v>-310</v>
      </c>
      <c r="P28" s="71">
        <f t="shared" ref="P28" si="14">AVERAGE(J28:O28)</f>
        <v>-310</v>
      </c>
      <c r="Q28" s="71">
        <f t="shared" ref="Q28" si="15">AVERAGE(K28:P28)</f>
        <v>-310</v>
      </c>
      <c r="R28" s="71">
        <f t="shared" ref="R28" si="16">AVERAGE(L28:Q28)</f>
        <v>-310</v>
      </c>
      <c r="S28" s="71">
        <f t="shared" ref="S28" si="17">AVERAGE(M28:R28)</f>
        <v>-310</v>
      </c>
      <c r="T28" s="71">
        <f t="shared" ref="T28" si="18">AVERAGE(N28:S28)</f>
        <v>-310</v>
      </c>
      <c r="U28" s="71">
        <f t="shared" ref="U28" si="19">AVERAGE(O28:T28)</f>
        <v>-310</v>
      </c>
      <c r="V28" s="71">
        <f t="shared" ref="V28" si="20">AVERAGE(P28:U28)</f>
        <v>-310</v>
      </c>
      <c r="W28" s="71">
        <f t="shared" ref="W28" si="21">AVERAGE(Q28:V28)</f>
        <v>-310</v>
      </c>
      <c r="X28" s="15"/>
    </row>
    <row r="29" spans="2:24" x14ac:dyDescent="0.3">
      <c r="B29" s="4" t="s">
        <v>266</v>
      </c>
      <c r="C29" s="27" t="s">
        <v>70</v>
      </c>
      <c r="D29" s="28" t="s">
        <v>61</v>
      </c>
      <c r="E29" s="39">
        <f>SUMIFS(Actuals!$I:$I,Actuals!$A:$A,E$7,Actuals!$C:$C,$C29)</f>
        <v>0</v>
      </c>
      <c r="F29" s="39">
        <f>SUMIFS(Actuals!$I:$I,Actuals!$A:$A,F$7,Actuals!$C:$C,$C29)</f>
        <v>0</v>
      </c>
      <c r="G29" s="39">
        <f>SUMIFS(Actuals!$I:$I,Actuals!$A:$A,G$7,Actuals!$C:$C,$C29)</f>
        <v>0</v>
      </c>
      <c r="H29" s="39">
        <f>SUMIFS(Actuals!$I:$I,Actuals!$A:$A,H$7,Actuals!$C:$C,$C29)</f>
        <v>0</v>
      </c>
      <c r="I29" s="39">
        <f>SUMIFS(Actuals!$I:$I,Actuals!$A:$A,I$7,Actuals!$C:$C,$C29)</f>
        <v>0</v>
      </c>
      <c r="J29" s="39">
        <f>SUMIFS(Actuals!$I:$I,Actuals!$A:$A,J$7,Actuals!$C:$C,$C29)</f>
        <v>0</v>
      </c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15"/>
    </row>
    <row r="30" spans="2:24" x14ac:dyDescent="0.3">
      <c r="B30" s="4" t="s">
        <v>266</v>
      </c>
      <c r="C30" s="27" t="s">
        <v>71</v>
      </c>
      <c r="D30" s="28" t="s">
        <v>67</v>
      </c>
      <c r="E30" s="39">
        <f>SUMIFS(Actuals!$I:$I,Actuals!$A:$A,E$7,Actuals!$C:$C,$C30)</f>
        <v>0</v>
      </c>
      <c r="F30" s="39">
        <f>SUMIFS(Actuals!$I:$I,Actuals!$A:$A,F$7,Actuals!$C:$C,$C30)</f>
        <v>-1350</v>
      </c>
      <c r="G30" s="39">
        <f>SUMIFS(Actuals!$I:$I,Actuals!$A:$A,G$7,Actuals!$C:$C,$C30)</f>
        <v>0</v>
      </c>
      <c r="H30" s="39">
        <f>SUMIFS(Actuals!$I:$I,Actuals!$A:$A,H$7,Actuals!$C:$C,$C30)</f>
        <v>0</v>
      </c>
      <c r="I30" s="39">
        <f>SUMIFS(Actuals!$I:$I,Actuals!$A:$A,I$7,Actuals!$C:$C,$C30)</f>
        <v>-1350</v>
      </c>
      <c r="J30" s="39">
        <f>SUMIFS(Actuals!$I:$I,Actuals!$A:$A,J$7,Actuals!$C:$C,$C30)</f>
        <v>-1350</v>
      </c>
      <c r="K30" s="71">
        <f t="shared" ref="K30:K31" si="22">AVERAGE(E30:J30)</f>
        <v>-675</v>
      </c>
      <c r="L30" s="71">
        <f t="shared" ref="L30:L31" si="23">AVERAGE(F30:K30)</f>
        <v>-787.5</v>
      </c>
      <c r="M30" s="71">
        <f t="shared" ref="M30:M31" si="24">AVERAGE(G30:L30)</f>
        <v>-693.75</v>
      </c>
      <c r="N30" s="71">
        <f t="shared" ref="N30:N31" si="25">AVERAGE(H30:M30)</f>
        <v>-809.375</v>
      </c>
      <c r="O30" s="71">
        <f t="shared" ref="O30:O31" si="26">AVERAGE(I30:N30)</f>
        <v>-944.27083333333337</v>
      </c>
      <c r="P30" s="71">
        <f t="shared" ref="P30:P31" si="27">AVERAGE(J30:O30)</f>
        <v>-876.64930555555554</v>
      </c>
      <c r="Q30" s="71">
        <f t="shared" ref="Q30:Q31" si="28">AVERAGE(K30:P30)</f>
        <v>-797.75752314814815</v>
      </c>
      <c r="R30" s="71">
        <f t="shared" ref="R30:R31" si="29">AVERAGE(L30:Q30)</f>
        <v>-818.21711033950612</v>
      </c>
      <c r="S30" s="71">
        <f t="shared" ref="S30:S31" si="30">AVERAGE(M30:R30)</f>
        <v>-823.33662872942386</v>
      </c>
      <c r="T30" s="71">
        <f t="shared" ref="T30:T31" si="31">AVERAGE(N30:S30)</f>
        <v>-844.93440018432784</v>
      </c>
      <c r="U30" s="71">
        <f t="shared" ref="U30:U31" si="32">AVERAGE(O30:T30)</f>
        <v>-850.86096688171585</v>
      </c>
      <c r="V30" s="71">
        <f t="shared" ref="V30:V31" si="33">AVERAGE(P30:U30)</f>
        <v>-835.29265580644631</v>
      </c>
      <c r="W30" s="71">
        <f t="shared" ref="W30:W31" si="34">AVERAGE(Q30:V30)</f>
        <v>-828.39988084826143</v>
      </c>
      <c r="X30" s="15"/>
    </row>
    <row r="31" spans="2:24" x14ac:dyDescent="0.3">
      <c r="B31" s="4" t="s">
        <v>266</v>
      </c>
      <c r="C31" s="27" t="s">
        <v>72</v>
      </c>
      <c r="D31" s="28" t="s">
        <v>67</v>
      </c>
      <c r="E31" s="39">
        <f>SUMIFS(Actuals!$I:$I,Actuals!$A:$A,E$7,Actuals!$C:$C,$C31)</f>
        <v>0</v>
      </c>
      <c r="F31" s="39">
        <f>SUMIFS(Actuals!$I:$I,Actuals!$A:$A,F$7,Actuals!$C:$C,$C31)</f>
        <v>-1510</v>
      </c>
      <c r="G31" s="39">
        <f>SUMIFS(Actuals!$I:$I,Actuals!$A:$A,G$7,Actuals!$C:$C,$C31)</f>
        <v>-1020</v>
      </c>
      <c r="H31" s="39">
        <f>SUMIFS(Actuals!$I:$I,Actuals!$A:$A,H$7,Actuals!$C:$C,$C31)</f>
        <v>0</v>
      </c>
      <c r="I31" s="39">
        <f>SUMIFS(Actuals!$I:$I,Actuals!$A:$A,I$7,Actuals!$C:$C,$C31)</f>
        <v>0</v>
      </c>
      <c r="J31" s="39">
        <f>SUMIFS(Actuals!$I:$I,Actuals!$A:$A,J$7,Actuals!$C:$C,$C31)</f>
        <v>-1510</v>
      </c>
      <c r="K31" s="71">
        <f t="shared" si="22"/>
        <v>-673.33333333333337</v>
      </c>
      <c r="L31" s="71">
        <f t="shared" si="23"/>
        <v>-785.55555555555554</v>
      </c>
      <c r="M31" s="71">
        <f t="shared" si="24"/>
        <v>-664.81481481481489</v>
      </c>
      <c r="N31" s="71">
        <f t="shared" si="25"/>
        <v>-605.61728395061732</v>
      </c>
      <c r="O31" s="71">
        <f t="shared" si="26"/>
        <v>-706.55349794238691</v>
      </c>
      <c r="P31" s="71">
        <f t="shared" si="27"/>
        <v>-824.31241426611814</v>
      </c>
      <c r="Q31" s="71">
        <f t="shared" si="28"/>
        <v>-710.03114997713783</v>
      </c>
      <c r="R31" s="71">
        <f t="shared" si="29"/>
        <v>-716.14745275110511</v>
      </c>
      <c r="S31" s="71">
        <f t="shared" si="30"/>
        <v>-704.57943561703007</v>
      </c>
      <c r="T31" s="71">
        <f t="shared" si="31"/>
        <v>-711.20687241739927</v>
      </c>
      <c r="U31" s="71">
        <f t="shared" si="32"/>
        <v>-728.80513716186294</v>
      </c>
      <c r="V31" s="71">
        <f t="shared" si="33"/>
        <v>-732.51374369844223</v>
      </c>
      <c r="W31" s="71">
        <f t="shared" si="34"/>
        <v>-717.21396527049626</v>
      </c>
      <c r="X31" s="15"/>
    </row>
    <row r="32" spans="2:24" x14ac:dyDescent="0.3">
      <c r="B32" s="4" t="s">
        <v>266</v>
      </c>
      <c r="C32" s="27" t="s">
        <v>73</v>
      </c>
      <c r="D32" s="28" t="s">
        <v>61</v>
      </c>
      <c r="E32" s="39">
        <f>SUMIFS(Actuals!$I:$I,Actuals!$A:$A,E$7,Actuals!$C:$C,$C32)</f>
        <v>0</v>
      </c>
      <c r="F32" s="39">
        <f>SUMIFS(Actuals!$I:$I,Actuals!$A:$A,F$7,Actuals!$C:$C,$C32)</f>
        <v>0</v>
      </c>
      <c r="G32" s="39">
        <f>SUMIFS(Actuals!$I:$I,Actuals!$A:$A,G$7,Actuals!$C:$C,$C32)</f>
        <v>0</v>
      </c>
      <c r="H32" s="39">
        <f>SUMIFS(Actuals!$I:$I,Actuals!$A:$A,H$7,Actuals!$C:$C,$C32)</f>
        <v>0</v>
      </c>
      <c r="I32" s="39">
        <f>SUMIFS(Actuals!$I:$I,Actuals!$A:$A,I$7,Actuals!$C:$C,$C32)</f>
        <v>0</v>
      </c>
      <c r="J32" s="39">
        <f>SUMIFS(Actuals!$I:$I,Actuals!$A:$A,J$7,Actuals!$C:$C,$C32)</f>
        <v>0</v>
      </c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15"/>
    </row>
    <row r="33" spans="2:24" x14ac:dyDescent="0.3">
      <c r="B33" s="4" t="s">
        <v>266</v>
      </c>
      <c r="C33" s="27" t="s">
        <v>74</v>
      </c>
      <c r="D33" s="28" t="s">
        <v>75</v>
      </c>
      <c r="E33" s="39">
        <f>SUMIFS(Actuals!$I:$I,Actuals!$A:$A,E$7,Actuals!$C:$C,$C33)</f>
        <v>0</v>
      </c>
      <c r="F33" s="39">
        <f>SUMIFS(Actuals!$I:$I,Actuals!$A:$A,F$7,Actuals!$C:$C,$C33)</f>
        <v>-5000</v>
      </c>
      <c r="G33" s="39">
        <f>SUMIFS(Actuals!$I:$I,Actuals!$A:$A,G$7,Actuals!$C:$C,$C33)</f>
        <v>0</v>
      </c>
      <c r="H33" s="39">
        <f>SUMIFS(Actuals!$I:$I,Actuals!$A:$A,H$7,Actuals!$C:$C,$C33)</f>
        <v>0</v>
      </c>
      <c r="I33" s="39">
        <f>SUMIFS(Actuals!$I:$I,Actuals!$A:$A,I$7,Actuals!$C:$C,$C33)</f>
        <v>0</v>
      </c>
      <c r="J33" s="39">
        <f>SUMIFS(Actuals!$I:$I,Actuals!$A:$A,J$7,Actuals!$C:$C,$C33)</f>
        <v>0</v>
      </c>
      <c r="K33" s="72">
        <v>-5000</v>
      </c>
      <c r="L33" s="72"/>
      <c r="M33" s="72"/>
      <c r="N33" s="72"/>
      <c r="O33" s="72">
        <v>-5000</v>
      </c>
      <c r="P33" s="72"/>
      <c r="Q33" s="72"/>
      <c r="R33" s="72"/>
      <c r="S33" s="72">
        <v>-5000</v>
      </c>
      <c r="T33" s="72"/>
      <c r="U33" s="72"/>
      <c r="V33" s="72"/>
      <c r="W33" s="72">
        <v>-5000</v>
      </c>
      <c r="X33" s="15"/>
    </row>
    <row r="34" spans="2:24" x14ac:dyDescent="0.3">
      <c r="B34" s="4" t="s">
        <v>266</v>
      </c>
      <c r="C34" s="27" t="s">
        <v>76</v>
      </c>
      <c r="D34" s="28" t="s">
        <v>61</v>
      </c>
      <c r="E34" s="39">
        <f>SUMIFS(Actuals!$I:$I,Actuals!$A:$A,E$7,Actuals!$C:$C,$C34)</f>
        <v>0</v>
      </c>
      <c r="F34" s="39">
        <f>SUMIFS(Actuals!$I:$I,Actuals!$A:$A,F$7,Actuals!$C:$C,$C34)</f>
        <v>0</v>
      </c>
      <c r="G34" s="39">
        <f>SUMIFS(Actuals!$I:$I,Actuals!$A:$A,G$7,Actuals!$C:$C,$C34)</f>
        <v>0</v>
      </c>
      <c r="H34" s="39">
        <f>SUMIFS(Actuals!$I:$I,Actuals!$A:$A,H$7,Actuals!$C:$C,$C34)</f>
        <v>0</v>
      </c>
      <c r="I34" s="39">
        <f>SUMIFS(Actuals!$I:$I,Actuals!$A:$A,I$7,Actuals!$C:$C,$C34)</f>
        <v>0</v>
      </c>
      <c r="J34" s="39">
        <f>SUMIFS(Actuals!$I:$I,Actuals!$A:$A,J$7,Actuals!$C:$C,$C34)</f>
        <v>0</v>
      </c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15"/>
    </row>
    <row r="35" spans="2:24" x14ac:dyDescent="0.3">
      <c r="B35" s="4" t="s">
        <v>266</v>
      </c>
      <c r="C35" s="27" t="s">
        <v>77</v>
      </c>
      <c r="D35" s="28" t="s">
        <v>61</v>
      </c>
      <c r="E35" s="39">
        <f>SUMIFS(Actuals!$I:$I,Actuals!$A:$A,E$7,Actuals!$C:$C,$C35)</f>
        <v>0</v>
      </c>
      <c r="F35" s="39">
        <f>SUMIFS(Actuals!$I:$I,Actuals!$A:$A,F$7,Actuals!$C:$C,$C35)</f>
        <v>0</v>
      </c>
      <c r="G35" s="39">
        <f>SUMIFS(Actuals!$I:$I,Actuals!$A:$A,G$7,Actuals!$C:$C,$C35)</f>
        <v>0</v>
      </c>
      <c r="H35" s="39">
        <f>SUMIFS(Actuals!$I:$I,Actuals!$A:$A,H$7,Actuals!$C:$C,$C35)</f>
        <v>0</v>
      </c>
      <c r="I35" s="39">
        <f>SUMIFS(Actuals!$I:$I,Actuals!$A:$A,I$7,Actuals!$C:$C,$C35)</f>
        <v>0</v>
      </c>
      <c r="J35" s="39">
        <f>SUMIFS(Actuals!$I:$I,Actuals!$A:$A,J$7,Actuals!$C:$C,$C35)</f>
        <v>0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15"/>
    </row>
    <row r="36" spans="2:24" x14ac:dyDescent="0.3">
      <c r="B36" s="4" t="s">
        <v>266</v>
      </c>
      <c r="C36" s="27" t="s">
        <v>78</v>
      </c>
      <c r="D36" s="28" t="s">
        <v>61</v>
      </c>
      <c r="E36" s="39">
        <f>SUMIFS(Actuals!$I:$I,Actuals!$A:$A,E$7,Actuals!$C:$C,$C36)</f>
        <v>0</v>
      </c>
      <c r="F36" s="39">
        <f>SUMIFS(Actuals!$I:$I,Actuals!$A:$A,F$7,Actuals!$C:$C,$C36)</f>
        <v>0</v>
      </c>
      <c r="G36" s="39">
        <f>SUMIFS(Actuals!$I:$I,Actuals!$A:$A,G$7,Actuals!$C:$C,$C36)</f>
        <v>0</v>
      </c>
      <c r="H36" s="39">
        <f>SUMIFS(Actuals!$I:$I,Actuals!$A:$A,H$7,Actuals!$C:$C,$C36)</f>
        <v>0</v>
      </c>
      <c r="I36" s="39">
        <f>SUMIFS(Actuals!$I:$I,Actuals!$A:$A,I$7,Actuals!$C:$C,$C36)</f>
        <v>0</v>
      </c>
      <c r="J36" s="39">
        <f>SUMIFS(Actuals!$I:$I,Actuals!$A:$A,J$7,Actuals!$C:$C,$C36)</f>
        <v>0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15"/>
    </row>
    <row r="37" spans="2:24" x14ac:dyDescent="0.3">
      <c r="B37" s="4" t="s">
        <v>266</v>
      </c>
      <c r="C37" s="27" t="s">
        <v>79</v>
      </c>
      <c r="D37" s="28" t="s">
        <v>61</v>
      </c>
      <c r="E37" s="39">
        <f>SUMIFS(Actuals!$I:$I,Actuals!$A:$A,E$7,Actuals!$C:$C,$C37)</f>
        <v>0</v>
      </c>
      <c r="F37" s="39">
        <f>SUMIFS(Actuals!$I:$I,Actuals!$A:$A,F$7,Actuals!$C:$C,$C37)</f>
        <v>0</v>
      </c>
      <c r="G37" s="39">
        <f>SUMIFS(Actuals!$I:$I,Actuals!$A:$A,G$7,Actuals!$C:$C,$C37)</f>
        <v>0</v>
      </c>
      <c r="H37" s="39">
        <f>SUMIFS(Actuals!$I:$I,Actuals!$A:$A,H$7,Actuals!$C:$C,$C37)</f>
        <v>0</v>
      </c>
      <c r="I37" s="39">
        <f>SUMIFS(Actuals!$I:$I,Actuals!$A:$A,I$7,Actuals!$C:$C,$C37)</f>
        <v>0</v>
      </c>
      <c r="J37" s="39">
        <f>SUMIFS(Actuals!$I:$I,Actuals!$A:$A,J$7,Actuals!$C:$C,$C37)</f>
        <v>0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15"/>
    </row>
    <row r="38" spans="2:24" x14ac:dyDescent="0.3">
      <c r="B38" s="4" t="s">
        <v>266</v>
      </c>
      <c r="C38" s="27" t="s">
        <v>80</v>
      </c>
      <c r="D38" s="28" t="s">
        <v>67</v>
      </c>
      <c r="E38" s="39">
        <f>SUMIFS(Actuals!$I:$I,Actuals!$A:$A,E$7,Actuals!$C:$C,$C38)</f>
        <v>-1110</v>
      </c>
      <c r="F38" s="39">
        <f>SUMIFS(Actuals!$I:$I,Actuals!$A:$A,F$7,Actuals!$C:$C,$C38)</f>
        <v>-1150</v>
      </c>
      <c r="G38" s="39">
        <f>SUMIFS(Actuals!$I:$I,Actuals!$A:$A,G$7,Actuals!$C:$C,$C38)</f>
        <v>-2100</v>
      </c>
      <c r="H38" s="39">
        <f>SUMIFS(Actuals!$I:$I,Actuals!$A:$A,H$7,Actuals!$C:$C,$C38)</f>
        <v>0</v>
      </c>
      <c r="I38" s="39">
        <f>SUMIFS(Actuals!$I:$I,Actuals!$A:$A,I$7,Actuals!$C:$C,$C38)</f>
        <v>-2130</v>
      </c>
      <c r="J38" s="39">
        <f>SUMIFS(Actuals!$I:$I,Actuals!$A:$A,J$7,Actuals!$C:$C,$C38)</f>
        <v>0</v>
      </c>
      <c r="K38" s="71">
        <f>AVERAGE(E38:J38)</f>
        <v>-1081.6666666666667</v>
      </c>
      <c r="L38" s="71">
        <f t="shared" ref="L38" si="35">AVERAGE(F38:K38)</f>
        <v>-1076.9444444444446</v>
      </c>
      <c r="M38" s="71">
        <f t="shared" ref="M38" si="36">AVERAGE(G38:L38)</f>
        <v>-1064.7685185185185</v>
      </c>
      <c r="N38" s="71">
        <f t="shared" ref="N38" si="37">AVERAGE(H38:M38)</f>
        <v>-892.22993827160496</v>
      </c>
      <c r="O38" s="71">
        <f t="shared" ref="O38" si="38">AVERAGE(I38:N38)</f>
        <v>-1040.934927983539</v>
      </c>
      <c r="P38" s="71">
        <f t="shared" ref="P38" si="39">AVERAGE(J38:O38)</f>
        <v>-859.42408264746211</v>
      </c>
      <c r="Q38" s="71">
        <f t="shared" ref="Q38" si="40">AVERAGE(K38:P38)</f>
        <v>-1002.6614297553725</v>
      </c>
      <c r="R38" s="71">
        <f t="shared" ref="R38" si="41">AVERAGE(L38:Q38)</f>
        <v>-989.49389027015695</v>
      </c>
      <c r="S38" s="71">
        <f t="shared" ref="S38" si="42">AVERAGE(M38:R38)</f>
        <v>-974.91879790777568</v>
      </c>
      <c r="T38" s="71">
        <f t="shared" ref="T38" si="43">AVERAGE(N38:S38)</f>
        <v>-959.9438444726519</v>
      </c>
      <c r="U38" s="71">
        <f t="shared" ref="U38" si="44">AVERAGE(O38:T38)</f>
        <v>-971.22949550615976</v>
      </c>
      <c r="V38" s="71">
        <f t="shared" ref="V38" si="45">AVERAGE(P38:U38)</f>
        <v>-959.61192342659649</v>
      </c>
      <c r="W38" s="71">
        <f t="shared" ref="W38" si="46">AVERAGE(Q38:V38)</f>
        <v>-976.30989688978559</v>
      </c>
      <c r="X38" s="15"/>
    </row>
    <row r="39" spans="2:24" x14ac:dyDescent="0.3">
      <c r="B39" s="4" t="s">
        <v>266</v>
      </c>
      <c r="C39" s="27" t="s">
        <v>81</v>
      </c>
      <c r="D39" s="28" t="s">
        <v>61</v>
      </c>
      <c r="E39" s="39">
        <f>SUMIFS(Actuals!$I:$I,Actuals!$A:$A,E$7,Actuals!$C:$C,$C39)</f>
        <v>0</v>
      </c>
      <c r="F39" s="39">
        <f>SUMIFS(Actuals!$I:$I,Actuals!$A:$A,F$7,Actuals!$C:$C,$C39)</f>
        <v>0</v>
      </c>
      <c r="G39" s="39">
        <f>SUMIFS(Actuals!$I:$I,Actuals!$A:$A,G$7,Actuals!$C:$C,$C39)</f>
        <v>0</v>
      </c>
      <c r="H39" s="39">
        <f>SUMIFS(Actuals!$I:$I,Actuals!$A:$A,H$7,Actuals!$C:$C,$C39)</f>
        <v>0</v>
      </c>
      <c r="I39" s="39">
        <f>SUMIFS(Actuals!$I:$I,Actuals!$A:$A,I$7,Actuals!$C:$C,$C39)</f>
        <v>0</v>
      </c>
      <c r="J39" s="39">
        <f>SUMIFS(Actuals!$I:$I,Actuals!$A:$A,J$7,Actuals!$C:$C,$C39)</f>
        <v>0</v>
      </c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15"/>
    </row>
    <row r="40" spans="2:24" x14ac:dyDescent="0.3">
      <c r="B40" s="4" t="s">
        <v>266</v>
      </c>
      <c r="C40" s="27" t="s">
        <v>82</v>
      </c>
      <c r="D40" s="28" t="s">
        <v>61</v>
      </c>
      <c r="E40" s="39">
        <f>SUMIFS(Actuals!$I:$I,Actuals!$A:$A,E$7,Actuals!$C:$C,$C40)</f>
        <v>0</v>
      </c>
      <c r="F40" s="39">
        <f>SUMIFS(Actuals!$I:$I,Actuals!$A:$A,F$7,Actuals!$C:$C,$C40)</f>
        <v>0</v>
      </c>
      <c r="G40" s="39">
        <f>SUMIFS(Actuals!$I:$I,Actuals!$A:$A,G$7,Actuals!$C:$C,$C40)</f>
        <v>0</v>
      </c>
      <c r="H40" s="39">
        <f>SUMIFS(Actuals!$I:$I,Actuals!$A:$A,H$7,Actuals!$C:$C,$C40)</f>
        <v>0</v>
      </c>
      <c r="I40" s="39">
        <f>SUMIFS(Actuals!$I:$I,Actuals!$A:$A,I$7,Actuals!$C:$C,$C40)</f>
        <v>0</v>
      </c>
      <c r="J40" s="39">
        <f>SUMIFS(Actuals!$I:$I,Actuals!$A:$A,J$7,Actuals!$C:$C,$C40)</f>
        <v>0</v>
      </c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15"/>
    </row>
    <row r="41" spans="2:24" x14ac:dyDescent="0.3">
      <c r="B41" s="4" t="s">
        <v>266</v>
      </c>
      <c r="C41" s="27" t="s">
        <v>83</v>
      </c>
      <c r="D41" s="28" t="s">
        <v>61</v>
      </c>
      <c r="E41" s="39">
        <f>SUMIFS(Actuals!$I:$I,Actuals!$A:$A,E$7,Actuals!$C:$C,$C41)</f>
        <v>0</v>
      </c>
      <c r="F41" s="39">
        <f>SUMIFS(Actuals!$I:$I,Actuals!$A:$A,F$7,Actuals!$C:$C,$C41)</f>
        <v>0</v>
      </c>
      <c r="G41" s="39">
        <f>SUMIFS(Actuals!$I:$I,Actuals!$A:$A,G$7,Actuals!$C:$C,$C41)</f>
        <v>0</v>
      </c>
      <c r="H41" s="39">
        <f>SUMIFS(Actuals!$I:$I,Actuals!$A:$A,H$7,Actuals!$C:$C,$C41)</f>
        <v>0</v>
      </c>
      <c r="I41" s="39">
        <f>SUMIFS(Actuals!$I:$I,Actuals!$A:$A,I$7,Actuals!$C:$C,$C41)</f>
        <v>0</v>
      </c>
      <c r="J41" s="39">
        <f>SUMIFS(Actuals!$I:$I,Actuals!$A:$A,J$7,Actuals!$C:$C,$C41)</f>
        <v>0</v>
      </c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15"/>
    </row>
    <row r="42" spans="2:24" x14ac:dyDescent="0.3">
      <c r="B42" s="4" t="s">
        <v>266</v>
      </c>
      <c r="C42" s="27" t="s">
        <v>84</v>
      </c>
      <c r="D42" s="28" t="s">
        <v>85</v>
      </c>
      <c r="E42" s="39">
        <f>SUMIFS(Actuals!$I:$I,Actuals!$A:$A,E$7,Actuals!$C:$C,$C42)</f>
        <v>0</v>
      </c>
      <c r="F42" s="39">
        <f>SUMIFS(Actuals!$I:$I,Actuals!$A:$A,F$7,Actuals!$C:$C,$C42)</f>
        <v>-7660</v>
      </c>
      <c r="G42" s="39">
        <f>SUMIFS(Actuals!$I:$I,Actuals!$A:$A,G$7,Actuals!$C:$C,$C42)</f>
        <v>0</v>
      </c>
      <c r="H42" s="39">
        <f>SUMIFS(Actuals!$I:$I,Actuals!$A:$A,H$7,Actuals!$C:$C,$C42)</f>
        <v>0</v>
      </c>
      <c r="I42" s="39">
        <f>SUMIFS(Actuals!$I:$I,Actuals!$A:$A,I$7,Actuals!$C:$C,$C42)</f>
        <v>0</v>
      </c>
      <c r="J42" s="39">
        <f>SUMIFS(Actuals!$I:$I,Actuals!$A:$A,J$7,Actuals!$C:$C,$C42)</f>
        <v>-5840</v>
      </c>
      <c r="K42" s="72"/>
      <c r="L42" s="72"/>
      <c r="M42" s="72"/>
      <c r="N42" s="72"/>
      <c r="O42" s="72">
        <v>-7000</v>
      </c>
      <c r="P42" s="72"/>
      <c r="Q42" s="72"/>
      <c r="R42" s="72"/>
      <c r="S42" s="72">
        <v>-7000</v>
      </c>
      <c r="T42" s="72"/>
      <c r="U42" s="72"/>
      <c r="V42" s="72"/>
      <c r="W42" s="72">
        <v>-7000</v>
      </c>
      <c r="X42" s="15"/>
    </row>
    <row r="43" spans="2:24" x14ac:dyDescent="0.3">
      <c r="B43" s="4" t="s">
        <v>266</v>
      </c>
      <c r="C43" s="27" t="s">
        <v>86</v>
      </c>
      <c r="D43" s="28" t="s">
        <v>67</v>
      </c>
      <c r="E43" s="39">
        <f>SUMIFS(Actuals!$I:$I,Actuals!$A:$A,E$7,Actuals!$C:$C,$C43)</f>
        <v>-1270</v>
      </c>
      <c r="F43" s="39">
        <f>SUMIFS(Actuals!$I:$I,Actuals!$A:$A,F$7,Actuals!$C:$C,$C43)</f>
        <v>-2570</v>
      </c>
      <c r="G43" s="39">
        <f>SUMIFS(Actuals!$I:$I,Actuals!$A:$A,G$7,Actuals!$C:$C,$C43)</f>
        <v>0</v>
      </c>
      <c r="H43" s="39">
        <f>SUMIFS(Actuals!$I:$I,Actuals!$A:$A,H$7,Actuals!$C:$C,$C43)</f>
        <v>0</v>
      </c>
      <c r="I43" s="39">
        <f>SUMIFS(Actuals!$I:$I,Actuals!$A:$A,I$7,Actuals!$C:$C,$C43)</f>
        <v>0</v>
      </c>
      <c r="J43" s="39">
        <f>SUMIFS(Actuals!$I:$I,Actuals!$A:$A,J$7,Actuals!$C:$C,$C43)</f>
        <v>-1270</v>
      </c>
      <c r="K43" s="71">
        <f>AVERAGE(E43:J43)</f>
        <v>-851.66666666666663</v>
      </c>
      <c r="L43" s="71">
        <f t="shared" ref="L43" si="47">AVERAGE(F43:K43)</f>
        <v>-781.94444444444446</v>
      </c>
      <c r="M43" s="71">
        <f t="shared" ref="M43" si="48">AVERAGE(G43:L43)</f>
        <v>-483.93518518518516</v>
      </c>
      <c r="N43" s="71">
        <f t="shared" ref="N43" si="49">AVERAGE(H43:M43)</f>
        <v>-564.59104938271605</v>
      </c>
      <c r="O43" s="71">
        <f t="shared" ref="O43" si="50">AVERAGE(I43:N43)</f>
        <v>-658.68955761316863</v>
      </c>
      <c r="P43" s="71">
        <f t="shared" ref="P43" si="51">AVERAGE(J43:O43)</f>
        <v>-768.47115054869676</v>
      </c>
      <c r="Q43" s="71">
        <f t="shared" ref="Q43" si="52">AVERAGE(K43:P43)</f>
        <v>-684.8830089734796</v>
      </c>
      <c r="R43" s="71">
        <f t="shared" ref="R43" si="53">AVERAGE(L43:Q43)</f>
        <v>-657.08573269128181</v>
      </c>
      <c r="S43" s="71">
        <f t="shared" ref="S43" si="54">AVERAGE(M43:R43)</f>
        <v>-636.27594739908807</v>
      </c>
      <c r="T43" s="71">
        <f t="shared" ref="T43" si="55">AVERAGE(N43:S43)</f>
        <v>-661.66607443473856</v>
      </c>
      <c r="U43" s="71">
        <f t="shared" ref="U43" si="56">AVERAGE(O43:T43)</f>
        <v>-677.84524527674228</v>
      </c>
      <c r="V43" s="71">
        <f t="shared" ref="V43" si="57">AVERAGE(P43:U43)</f>
        <v>-681.03785988733796</v>
      </c>
      <c r="W43" s="71">
        <f t="shared" ref="W43" si="58">AVERAGE(Q43:V43)</f>
        <v>-666.46564477711138</v>
      </c>
      <c r="X43" s="15"/>
    </row>
    <row r="44" spans="2:24" x14ac:dyDescent="0.3">
      <c r="C44" s="27"/>
      <c r="D44" s="28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15"/>
    </row>
    <row r="45" spans="2:24" x14ac:dyDescent="0.3">
      <c r="C45" s="40" t="s">
        <v>87</v>
      </c>
      <c r="D45" s="41"/>
      <c r="E45" s="42">
        <f t="shared" ref="E45:W45" si="59">SUM(E24:E44)</f>
        <v>-114140</v>
      </c>
      <c r="F45" s="42">
        <f t="shared" si="59"/>
        <v>-374900</v>
      </c>
      <c r="G45" s="42">
        <f t="shared" si="59"/>
        <v>-124910</v>
      </c>
      <c r="H45" s="42">
        <f t="shared" si="59"/>
        <v>-180410</v>
      </c>
      <c r="I45" s="42">
        <f t="shared" si="59"/>
        <v>-66850</v>
      </c>
      <c r="J45" s="42">
        <f t="shared" si="59"/>
        <v>-166200</v>
      </c>
      <c r="K45" s="42">
        <f t="shared" si="59"/>
        <v>-413930</v>
      </c>
      <c r="L45" s="42">
        <f t="shared" si="59"/>
        <v>-56198.333333333328</v>
      </c>
      <c r="M45" s="42">
        <f t="shared" si="59"/>
        <v>-195108.05555555556</v>
      </c>
      <c r="N45" s="42">
        <f t="shared" si="59"/>
        <v>-48342.731481481489</v>
      </c>
      <c r="O45" s="42">
        <f t="shared" si="59"/>
        <v>-116688.18672839507</v>
      </c>
      <c r="P45" s="42">
        <f t="shared" si="59"/>
        <v>-49941.217849794244</v>
      </c>
      <c r="Q45" s="42">
        <f t="shared" si="59"/>
        <v>-51634.754158093281</v>
      </c>
      <c r="R45" s="42">
        <f t="shared" si="59"/>
        <v>-50552.21318444216</v>
      </c>
      <c r="S45" s="42">
        <f t="shared" si="59"/>
        <v>-241411.19315962694</v>
      </c>
      <c r="T45" s="42">
        <f t="shared" si="59"/>
        <v>-176911.71609363885</v>
      </c>
      <c r="U45" s="42">
        <f t="shared" si="59"/>
        <v>-100289.8801956651</v>
      </c>
      <c r="V45" s="42">
        <f t="shared" si="59"/>
        <v>-140390.16244021012</v>
      </c>
      <c r="W45" s="42">
        <f t="shared" si="59"/>
        <v>-272464.98653861275</v>
      </c>
      <c r="X45" s="15"/>
    </row>
    <row r="46" spans="2:24" x14ac:dyDescent="0.3">
      <c r="D46" s="28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15"/>
    </row>
    <row r="47" spans="2:24" ht="14.5" x14ac:dyDescent="0.45">
      <c r="C47" s="20" t="s">
        <v>88</v>
      </c>
      <c r="D47" s="37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15"/>
    </row>
    <row r="48" spans="2:24" x14ac:dyDescent="0.3">
      <c r="B48" s="4" t="s">
        <v>267</v>
      </c>
      <c r="C48" s="27" t="s">
        <v>89</v>
      </c>
      <c r="D48" s="28" t="s">
        <v>61</v>
      </c>
      <c r="E48" s="39">
        <f>SUMIFS(Actuals!$I:$I,Actuals!$A:$A,E$7,Actuals!$C:$C,$C48)</f>
        <v>0</v>
      </c>
      <c r="F48" s="39">
        <f>SUMIFS(Actuals!$I:$I,Actuals!$A:$A,F$7,Actuals!$C:$C,$C48)</f>
        <v>0</v>
      </c>
      <c r="G48" s="39">
        <f>SUMIFS(Actuals!$I:$I,Actuals!$A:$A,G$7,Actuals!$C:$C,$C48)</f>
        <v>0</v>
      </c>
      <c r="H48" s="39">
        <f>SUMIFS(Actuals!$I:$I,Actuals!$A:$A,H$7,Actuals!$C:$C,$C48)</f>
        <v>0</v>
      </c>
      <c r="I48" s="39">
        <f>SUMIFS(Actuals!$I:$I,Actuals!$A:$A,I$7,Actuals!$C:$C,$C48)</f>
        <v>0</v>
      </c>
      <c r="J48" s="39">
        <f>SUMIFS(Actuals!$I:$I,Actuals!$A:$A,J$7,Actuals!$C:$C,$C48)</f>
        <v>0</v>
      </c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15"/>
    </row>
    <row r="49" spans="2:24" x14ac:dyDescent="0.3">
      <c r="B49" s="4" t="s">
        <v>267</v>
      </c>
      <c r="C49" s="27" t="s">
        <v>90</v>
      </c>
      <c r="D49" s="28" t="s">
        <v>61</v>
      </c>
      <c r="E49" s="39">
        <f>SUMIFS(Actuals!$I:$I,Actuals!$A:$A,E$7,Actuals!$C:$C,$C49)</f>
        <v>0</v>
      </c>
      <c r="F49" s="39">
        <f>SUMIFS(Actuals!$I:$I,Actuals!$A:$A,F$7,Actuals!$C:$C,$C49)</f>
        <v>0</v>
      </c>
      <c r="G49" s="39">
        <f>SUMIFS(Actuals!$I:$I,Actuals!$A:$A,G$7,Actuals!$C:$C,$C49)</f>
        <v>0</v>
      </c>
      <c r="H49" s="39">
        <f>SUMIFS(Actuals!$I:$I,Actuals!$A:$A,H$7,Actuals!$C:$C,$C49)</f>
        <v>0</v>
      </c>
      <c r="I49" s="39">
        <f>SUMIFS(Actuals!$I:$I,Actuals!$A:$A,I$7,Actuals!$C:$C,$C49)</f>
        <v>0</v>
      </c>
      <c r="J49" s="39">
        <f>SUMIFS(Actuals!$I:$I,Actuals!$A:$A,J$7,Actuals!$C:$C,$C49)</f>
        <v>0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15"/>
    </row>
    <row r="50" spans="2:24" x14ac:dyDescent="0.3">
      <c r="B50" s="4" t="s">
        <v>267</v>
      </c>
      <c r="C50" s="27" t="s">
        <v>91</v>
      </c>
      <c r="D50" s="28" t="s">
        <v>61</v>
      </c>
      <c r="E50" s="39">
        <f>SUMIFS(Actuals!$I:$I,Actuals!$A:$A,E$7,Actuals!$C:$C,$C50)</f>
        <v>0</v>
      </c>
      <c r="F50" s="39">
        <f>SUMIFS(Actuals!$I:$I,Actuals!$A:$A,F$7,Actuals!$C:$C,$C50)</f>
        <v>0</v>
      </c>
      <c r="G50" s="39">
        <f>SUMIFS(Actuals!$I:$I,Actuals!$A:$A,G$7,Actuals!$C:$C,$C50)</f>
        <v>0</v>
      </c>
      <c r="H50" s="39">
        <f>SUMIFS(Actuals!$I:$I,Actuals!$A:$A,H$7,Actuals!$C:$C,$C50)</f>
        <v>0</v>
      </c>
      <c r="I50" s="39">
        <f>SUMIFS(Actuals!$I:$I,Actuals!$A:$A,I$7,Actuals!$C:$C,$C50)</f>
        <v>0</v>
      </c>
      <c r="J50" s="39">
        <f>SUMIFS(Actuals!$I:$I,Actuals!$A:$A,J$7,Actuals!$C:$C,$C50)</f>
        <v>0</v>
      </c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15"/>
    </row>
    <row r="51" spans="2:24" x14ac:dyDescent="0.3">
      <c r="B51" s="4" t="s">
        <v>267</v>
      </c>
      <c r="C51" s="27" t="s">
        <v>92</v>
      </c>
      <c r="D51" s="28" t="s">
        <v>61</v>
      </c>
      <c r="E51" s="39">
        <f>SUMIFS(Actuals!$I:$I,Actuals!$A:$A,E$7,Actuals!$C:$C,$C51)</f>
        <v>0</v>
      </c>
      <c r="F51" s="39">
        <f>SUMIFS(Actuals!$I:$I,Actuals!$A:$A,F$7,Actuals!$C:$C,$C51)</f>
        <v>0</v>
      </c>
      <c r="G51" s="39">
        <f>SUMIFS(Actuals!$I:$I,Actuals!$A:$A,G$7,Actuals!$C:$C,$C51)</f>
        <v>0</v>
      </c>
      <c r="H51" s="39">
        <f>SUMIFS(Actuals!$I:$I,Actuals!$A:$A,H$7,Actuals!$C:$C,$C51)</f>
        <v>0</v>
      </c>
      <c r="I51" s="39">
        <f>SUMIFS(Actuals!$I:$I,Actuals!$A:$A,I$7,Actuals!$C:$C,$C51)</f>
        <v>0</v>
      </c>
      <c r="J51" s="39">
        <f>SUMIFS(Actuals!$I:$I,Actuals!$A:$A,J$7,Actuals!$C:$C,$C51)</f>
        <v>0</v>
      </c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15"/>
    </row>
    <row r="52" spans="2:24" x14ac:dyDescent="0.3">
      <c r="B52" s="4" t="s">
        <v>267</v>
      </c>
      <c r="C52" s="27" t="s">
        <v>93</v>
      </c>
      <c r="D52" s="28" t="s">
        <v>67</v>
      </c>
      <c r="E52" s="39">
        <f>SUMIFS(Actuals!$I:$I,Actuals!$A:$A,E$7,Actuals!$C:$C,$C52)</f>
        <v>-21230</v>
      </c>
      <c r="F52" s="39">
        <f>SUMIFS(Actuals!$I:$I,Actuals!$A:$A,F$7,Actuals!$C:$C,$C52)</f>
        <v>-24740</v>
      </c>
      <c r="G52" s="39">
        <f>SUMIFS(Actuals!$I:$I,Actuals!$A:$A,G$7,Actuals!$C:$C,$C52)</f>
        <v>-20220</v>
      </c>
      <c r="H52" s="39">
        <f>SUMIFS(Actuals!$I:$I,Actuals!$A:$A,H$7,Actuals!$C:$C,$C52)</f>
        <v>-14200</v>
      </c>
      <c r="I52" s="39">
        <f>SUMIFS(Actuals!$I:$I,Actuals!$A:$A,I$7,Actuals!$C:$C,$C52)</f>
        <v>-12680</v>
      </c>
      <c r="J52" s="39">
        <f>SUMIFS(Actuals!$I:$I,Actuals!$A:$A,J$7,Actuals!$C:$C,$C52)</f>
        <v>-12340</v>
      </c>
      <c r="K52" s="71">
        <f>AVERAGE(E52:J52)</f>
        <v>-17568.333333333332</v>
      </c>
      <c r="L52" s="71">
        <f t="shared" ref="L52" si="60">AVERAGE(F52:K52)</f>
        <v>-16958.055555555555</v>
      </c>
      <c r="M52" s="71">
        <f t="shared" ref="M52" si="61">AVERAGE(G52:L52)</f>
        <v>-15661.064814814812</v>
      </c>
      <c r="N52" s="71">
        <f t="shared" ref="N52" si="62">AVERAGE(H52:M52)</f>
        <v>-14901.242283950616</v>
      </c>
      <c r="O52" s="71">
        <f t="shared" ref="O52" si="63">AVERAGE(I52:N52)</f>
        <v>-15018.115997942385</v>
      </c>
      <c r="P52" s="71">
        <f t="shared" ref="P52" si="64">AVERAGE(J52:O52)</f>
        <v>-15407.801997599448</v>
      </c>
      <c r="Q52" s="71">
        <f t="shared" ref="Q52" si="65">AVERAGE(K52:P52)</f>
        <v>-15919.102330532694</v>
      </c>
      <c r="R52" s="71">
        <f t="shared" ref="R52" si="66">AVERAGE(L52:Q52)</f>
        <v>-15644.230496732585</v>
      </c>
      <c r="S52" s="71">
        <f t="shared" ref="S52" si="67">AVERAGE(M52:R52)</f>
        <v>-15425.259653595424</v>
      </c>
      <c r="T52" s="71">
        <f t="shared" ref="T52" si="68">AVERAGE(N52:S52)</f>
        <v>-15385.958793392192</v>
      </c>
      <c r="U52" s="71">
        <f t="shared" ref="U52" si="69">AVERAGE(O52:T52)</f>
        <v>-15466.74487829912</v>
      </c>
      <c r="V52" s="71">
        <f t="shared" ref="V52" si="70">AVERAGE(P52:U52)</f>
        <v>-15541.516358358576</v>
      </c>
      <c r="W52" s="71">
        <f t="shared" ref="W52" si="71">AVERAGE(Q52:V52)</f>
        <v>-15563.802085151765</v>
      </c>
      <c r="X52" s="15"/>
    </row>
    <row r="53" spans="2:24" x14ac:dyDescent="0.3">
      <c r="B53" s="4" t="s">
        <v>267</v>
      </c>
      <c r="C53" s="27" t="s">
        <v>94</v>
      </c>
      <c r="D53" s="28" t="s">
        <v>61</v>
      </c>
      <c r="E53" s="39">
        <f>SUMIFS(Actuals!$I:$I,Actuals!$A:$A,E$7,Actuals!$C:$C,$C53)</f>
        <v>0</v>
      </c>
      <c r="F53" s="39">
        <f>SUMIFS(Actuals!$I:$I,Actuals!$A:$A,F$7,Actuals!$C:$C,$C53)</f>
        <v>0</v>
      </c>
      <c r="G53" s="39">
        <f>SUMIFS(Actuals!$I:$I,Actuals!$A:$A,G$7,Actuals!$C:$C,$C53)</f>
        <v>0</v>
      </c>
      <c r="H53" s="39">
        <f>SUMIFS(Actuals!$I:$I,Actuals!$A:$A,H$7,Actuals!$C:$C,$C53)</f>
        <v>0</v>
      </c>
      <c r="I53" s="39">
        <f>SUMIFS(Actuals!$I:$I,Actuals!$A:$A,I$7,Actuals!$C:$C,$C53)</f>
        <v>0</v>
      </c>
      <c r="J53" s="39">
        <f>SUMIFS(Actuals!$I:$I,Actuals!$A:$A,J$7,Actuals!$C:$C,$C53)</f>
        <v>0</v>
      </c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15"/>
    </row>
    <row r="54" spans="2:24" x14ac:dyDescent="0.3">
      <c r="B54" s="4" t="s">
        <v>267</v>
      </c>
      <c r="C54" s="27" t="s">
        <v>95</v>
      </c>
      <c r="D54" s="28" t="s">
        <v>61</v>
      </c>
      <c r="E54" s="39">
        <f>SUMIFS(Actuals!$I:$I,Actuals!$A:$A,E$7,Actuals!$C:$C,$C54)</f>
        <v>0</v>
      </c>
      <c r="F54" s="39">
        <f>SUMIFS(Actuals!$I:$I,Actuals!$A:$A,F$7,Actuals!$C:$C,$C54)</f>
        <v>0</v>
      </c>
      <c r="G54" s="39">
        <f>SUMIFS(Actuals!$I:$I,Actuals!$A:$A,G$7,Actuals!$C:$C,$C54)</f>
        <v>0</v>
      </c>
      <c r="H54" s="39">
        <f>SUMIFS(Actuals!$I:$I,Actuals!$A:$A,H$7,Actuals!$C:$C,$C54)</f>
        <v>0</v>
      </c>
      <c r="I54" s="39">
        <f>SUMIFS(Actuals!$I:$I,Actuals!$A:$A,I$7,Actuals!$C:$C,$C54)</f>
        <v>0</v>
      </c>
      <c r="J54" s="39">
        <f>SUMIFS(Actuals!$I:$I,Actuals!$A:$A,J$7,Actuals!$C:$C,$C54)</f>
        <v>0</v>
      </c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15"/>
    </row>
    <row r="55" spans="2:24" x14ac:dyDescent="0.3">
      <c r="B55" s="4" t="s">
        <v>267</v>
      </c>
      <c r="C55" s="27" t="s">
        <v>96</v>
      </c>
      <c r="D55" s="28" t="s">
        <v>67</v>
      </c>
      <c r="E55" s="39">
        <f>SUMIFS(Actuals!$I:$I,Actuals!$A:$A,E$7,Actuals!$C:$C,$C55)</f>
        <v>0</v>
      </c>
      <c r="F55" s="39">
        <f>SUMIFS(Actuals!$I:$I,Actuals!$A:$A,F$7,Actuals!$C:$C,$C55)</f>
        <v>-8580</v>
      </c>
      <c r="G55" s="39">
        <f>SUMIFS(Actuals!$I:$I,Actuals!$A:$A,G$7,Actuals!$C:$C,$C55)</f>
        <v>0</v>
      </c>
      <c r="H55" s="39">
        <f>SUMIFS(Actuals!$I:$I,Actuals!$A:$A,H$7,Actuals!$C:$C,$C55)</f>
        <v>-1140</v>
      </c>
      <c r="I55" s="39">
        <f>SUMIFS(Actuals!$I:$I,Actuals!$A:$A,I$7,Actuals!$C:$C,$C55)</f>
        <v>0</v>
      </c>
      <c r="J55" s="39">
        <f>SUMIFS(Actuals!$I:$I,Actuals!$A:$A,J$7,Actuals!$C:$C,$C55)</f>
        <v>0</v>
      </c>
      <c r="K55" s="71">
        <f>AVERAGE(E55:J55)</f>
        <v>-1620</v>
      </c>
      <c r="L55" s="71">
        <f t="shared" ref="L55" si="72">AVERAGE(F55:K55)</f>
        <v>-1890</v>
      </c>
      <c r="M55" s="71">
        <f t="shared" ref="M55" si="73">AVERAGE(G55:L55)</f>
        <v>-775</v>
      </c>
      <c r="N55" s="71">
        <f t="shared" ref="N55" si="74">AVERAGE(H55:M55)</f>
        <v>-904.16666666666663</v>
      </c>
      <c r="O55" s="71">
        <f t="shared" ref="O55" si="75">AVERAGE(I55:N55)</f>
        <v>-864.8611111111112</v>
      </c>
      <c r="P55" s="71">
        <f t="shared" ref="P55" si="76">AVERAGE(J55:O55)</f>
        <v>-1009.0046296296297</v>
      </c>
      <c r="Q55" s="71">
        <f t="shared" ref="Q55" si="77">AVERAGE(K55:P55)</f>
        <v>-1177.1720679012346</v>
      </c>
      <c r="R55" s="71">
        <f t="shared" ref="R55" si="78">AVERAGE(L55:Q55)</f>
        <v>-1103.3674125514401</v>
      </c>
      <c r="S55" s="71">
        <f t="shared" ref="S55" si="79">AVERAGE(M55:R55)</f>
        <v>-972.26198131001365</v>
      </c>
      <c r="T55" s="71">
        <f t="shared" ref="T55" si="80">AVERAGE(N55:S55)</f>
        <v>-1005.138978195016</v>
      </c>
      <c r="U55" s="71">
        <f t="shared" ref="U55" si="81">AVERAGE(O55:T55)</f>
        <v>-1021.9676967830742</v>
      </c>
      <c r="V55" s="71">
        <f t="shared" ref="V55" si="82">AVERAGE(P55:U55)</f>
        <v>-1048.1521277284012</v>
      </c>
      <c r="W55" s="71">
        <f t="shared" ref="W55" si="83">AVERAGE(Q55:V55)</f>
        <v>-1054.6767107448632</v>
      </c>
      <c r="X55" s="15"/>
    </row>
    <row r="56" spans="2:24" x14ac:dyDescent="0.3">
      <c r="C56" s="27"/>
      <c r="D56" s="28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15"/>
    </row>
    <row r="57" spans="2:24" x14ac:dyDescent="0.3">
      <c r="C57" s="40" t="s">
        <v>97</v>
      </c>
      <c r="D57" s="41"/>
      <c r="E57" s="42">
        <f t="shared" ref="E57:W57" si="84">SUM(E48:E56)</f>
        <v>-21230</v>
      </c>
      <c r="F57" s="42">
        <f t="shared" si="84"/>
        <v>-33320</v>
      </c>
      <c r="G57" s="42">
        <f t="shared" si="84"/>
        <v>-20220</v>
      </c>
      <c r="H57" s="42">
        <f t="shared" si="84"/>
        <v>-15340</v>
      </c>
      <c r="I57" s="42">
        <f t="shared" si="84"/>
        <v>-12680</v>
      </c>
      <c r="J57" s="42">
        <f t="shared" si="84"/>
        <v>-12340</v>
      </c>
      <c r="K57" s="42">
        <f t="shared" si="84"/>
        <v>-19188.333333333332</v>
      </c>
      <c r="L57" s="42">
        <f t="shared" si="84"/>
        <v>-18848.055555555555</v>
      </c>
      <c r="M57" s="42">
        <f t="shared" si="84"/>
        <v>-16436.06481481481</v>
      </c>
      <c r="N57" s="42">
        <f t="shared" si="84"/>
        <v>-15805.408950617282</v>
      </c>
      <c r="O57" s="42">
        <f t="shared" si="84"/>
        <v>-15882.977109053496</v>
      </c>
      <c r="P57" s="42">
        <f t="shared" si="84"/>
        <v>-16416.806627229078</v>
      </c>
      <c r="Q57" s="42">
        <f t="shared" si="84"/>
        <v>-17096.274398433929</v>
      </c>
      <c r="R57" s="42">
        <f t="shared" si="84"/>
        <v>-16747.597909284024</v>
      </c>
      <c r="S57" s="42">
        <f t="shared" si="84"/>
        <v>-16397.521634905439</v>
      </c>
      <c r="T57" s="42">
        <f t="shared" si="84"/>
        <v>-16391.097771587207</v>
      </c>
      <c r="U57" s="42">
        <f t="shared" si="84"/>
        <v>-16488.712575082194</v>
      </c>
      <c r="V57" s="42">
        <f t="shared" si="84"/>
        <v>-16589.668486086979</v>
      </c>
      <c r="W57" s="42">
        <f t="shared" si="84"/>
        <v>-16618.478795896626</v>
      </c>
      <c r="X57" s="15"/>
    </row>
    <row r="58" spans="2:24" x14ac:dyDescent="0.3">
      <c r="D58" s="28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15"/>
    </row>
    <row r="59" spans="2:24" x14ac:dyDescent="0.3">
      <c r="C59" s="44" t="s">
        <v>53</v>
      </c>
      <c r="D59" s="45"/>
      <c r="E59" s="46">
        <f t="shared" ref="E59:W59" si="85">SUM(E21,E45,E57)</f>
        <v>-135370</v>
      </c>
      <c r="F59" s="46">
        <f t="shared" si="85"/>
        <v>-36120</v>
      </c>
      <c r="G59" s="46">
        <f t="shared" si="85"/>
        <v>65020</v>
      </c>
      <c r="H59" s="46">
        <f t="shared" si="85"/>
        <v>-195750</v>
      </c>
      <c r="I59" s="46">
        <f t="shared" si="85"/>
        <v>281900</v>
      </c>
      <c r="J59" s="46">
        <f t="shared" si="85"/>
        <v>-110100</v>
      </c>
      <c r="K59" s="46">
        <f t="shared" si="85"/>
        <v>-103118.33333333333</v>
      </c>
      <c r="L59" s="46">
        <f t="shared" si="85"/>
        <v>44953.611111111117</v>
      </c>
      <c r="M59" s="46">
        <f t="shared" si="85"/>
        <v>242455.87962962964</v>
      </c>
      <c r="N59" s="46">
        <f t="shared" si="85"/>
        <v>15851.859567901229</v>
      </c>
      <c r="O59" s="46">
        <f t="shared" si="85"/>
        <v>-32571.163837448566</v>
      </c>
      <c r="P59" s="46">
        <f t="shared" si="85"/>
        <v>-66358.024477023326</v>
      </c>
      <c r="Q59" s="46">
        <f t="shared" si="85"/>
        <v>203068.97144347281</v>
      </c>
      <c r="R59" s="46">
        <f t="shared" si="85"/>
        <v>12700.188906273816</v>
      </c>
      <c r="S59" s="46">
        <f t="shared" si="85"/>
        <v>-59808.714794532381</v>
      </c>
      <c r="T59" s="46">
        <f t="shared" si="85"/>
        <v>-193302.81386522605</v>
      </c>
      <c r="U59" s="46">
        <f t="shared" si="85"/>
        <v>133221.40722925268</v>
      </c>
      <c r="V59" s="46">
        <f t="shared" si="85"/>
        <v>168020.16907370291</v>
      </c>
      <c r="W59" s="46">
        <f t="shared" si="85"/>
        <v>-289083.46533450938</v>
      </c>
      <c r="X59" s="15"/>
    </row>
  </sheetData>
  <conditionalFormatting sqref="D2">
    <cfRule type="cellIs" dxfId="4" priority="1" operator="notEqual">
      <formula>0</formula>
    </cfRule>
    <cfRule type="cellIs" dxfId="3" priority="2" operator="equal">
      <formula>0</formula>
    </cfRule>
  </conditionalFormatting>
  <conditionalFormatting sqref="D4:W4">
    <cfRule type="cellIs" dxfId="2" priority="3" operator="equal">
      <formula>"forecast"</formula>
    </cfRule>
    <cfRule type="cellIs" dxfId="1" priority="4" operator="equal">
      <formula>"actual"</formula>
    </cfRule>
  </conditionalFormatting>
  <conditionalFormatting sqref="D12:W12">
    <cfRule type="cellIs" dxfId="0" priority="5" operator="lessThan">
      <formula>0</formula>
    </cfRule>
  </conditionalFormatting>
  <pageMargins left="0" right="0" top="0" bottom="0" header="0" footer="0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0A422-A202-4DA8-846D-9697DF706B43}">
  <sheetPr>
    <tabColor rgb="FFFFFF99"/>
  </sheetPr>
  <dimension ref="A1:P46"/>
  <sheetViews>
    <sheetView showGridLines="0" zoomScale="125" zoomScaleNormal="125" workbookViewId="0">
      <pane ySplit="2" topLeftCell="A3" activePane="bottomLeft" state="frozen"/>
      <selection activeCell="Q25" sqref="Q25"/>
      <selection pane="bottomLeft" activeCell="A3" sqref="A3"/>
    </sheetView>
  </sheetViews>
  <sheetFormatPr defaultRowHeight="13" x14ac:dyDescent="0.3"/>
  <cols>
    <col min="1" max="1" width="13.3984375" bestFit="1" customWidth="1"/>
    <col min="2" max="10" width="15.69921875" customWidth="1"/>
  </cols>
  <sheetData>
    <row r="1" spans="1:16" ht="15" thickBot="1" x14ac:dyDescent="0.5">
      <c r="B1" s="50" t="s">
        <v>144</v>
      </c>
      <c r="C1" s="51"/>
      <c r="D1" s="52" t="s">
        <v>194</v>
      </c>
      <c r="E1" s="53"/>
      <c r="F1" s="53"/>
      <c r="G1" s="53"/>
      <c r="H1" s="53"/>
      <c r="I1" s="53"/>
      <c r="J1" s="54"/>
    </row>
    <row r="2" spans="1:16" x14ac:dyDescent="0.3">
      <c r="A2" s="49" t="s">
        <v>28</v>
      </c>
      <c r="B2" s="55" t="s">
        <v>146</v>
      </c>
      <c r="C2" s="55" t="s">
        <v>147</v>
      </c>
      <c r="D2" s="56" t="s">
        <v>195</v>
      </c>
      <c r="E2" s="55" t="s">
        <v>150</v>
      </c>
      <c r="F2" s="55" t="s">
        <v>151</v>
      </c>
      <c r="G2" s="55" t="s">
        <v>152</v>
      </c>
      <c r="H2" s="55" t="s">
        <v>153</v>
      </c>
      <c r="I2" s="55" t="s">
        <v>154</v>
      </c>
      <c r="J2" s="55" t="s">
        <v>155</v>
      </c>
    </row>
    <row r="3" spans="1:16" x14ac:dyDescent="0.3">
      <c r="A3" s="11">
        <f>C3+7-WEEKDAY(C3+7-7)</f>
        <v>45283</v>
      </c>
      <c r="B3" s="57">
        <v>65900</v>
      </c>
      <c r="C3" s="58">
        <v>45280</v>
      </c>
      <c r="D3" s="67" t="s">
        <v>196</v>
      </c>
      <c r="E3" s="61">
        <v>65900</v>
      </c>
      <c r="F3" s="61">
        <v>0</v>
      </c>
      <c r="G3" s="61">
        <v>0</v>
      </c>
      <c r="H3" s="61">
        <v>0</v>
      </c>
      <c r="I3" s="61">
        <v>0</v>
      </c>
      <c r="J3" s="62">
        <f t="shared" ref="J3:J46" si="0">SUM(E3:I3)</f>
        <v>65900</v>
      </c>
      <c r="L3" s="63"/>
      <c r="M3" s="63"/>
      <c r="N3" s="63"/>
      <c r="O3" s="63"/>
      <c r="P3" s="63"/>
    </row>
    <row r="4" spans="1:16" x14ac:dyDescent="0.3">
      <c r="A4" s="11">
        <f t="shared" ref="A4:A46" si="1">C4+7-WEEKDAY(C4+7-7)</f>
        <v>45311</v>
      </c>
      <c r="B4" s="57">
        <v>75000</v>
      </c>
      <c r="C4" s="58">
        <v>45311</v>
      </c>
      <c r="D4" s="64" t="s">
        <v>196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6">
        <f t="shared" si="0"/>
        <v>0</v>
      </c>
      <c r="L4" s="63"/>
      <c r="M4" s="63"/>
      <c r="N4" s="63"/>
      <c r="O4" s="63"/>
      <c r="P4" s="63"/>
    </row>
    <row r="5" spans="1:16" x14ac:dyDescent="0.3">
      <c r="A5" s="11">
        <f t="shared" si="1"/>
        <v>45346</v>
      </c>
      <c r="B5" s="57">
        <v>100000</v>
      </c>
      <c r="C5" s="58">
        <v>45342</v>
      </c>
      <c r="D5" s="64" t="s">
        <v>196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6">
        <f t="shared" si="0"/>
        <v>0</v>
      </c>
      <c r="L5" s="63"/>
      <c r="M5" s="63"/>
      <c r="N5" s="63"/>
      <c r="O5" s="63"/>
      <c r="P5" s="63"/>
    </row>
    <row r="6" spans="1:16" x14ac:dyDescent="0.3">
      <c r="A6" s="11">
        <f t="shared" si="1"/>
        <v>45297</v>
      </c>
      <c r="B6" s="57">
        <v>98400</v>
      </c>
      <c r="C6" s="58">
        <v>45291</v>
      </c>
      <c r="D6" s="60" t="s">
        <v>197</v>
      </c>
      <c r="E6" s="61">
        <v>0</v>
      </c>
      <c r="F6" s="61">
        <v>13100</v>
      </c>
      <c r="G6" s="61">
        <v>25000</v>
      </c>
      <c r="H6" s="61">
        <v>16700</v>
      </c>
      <c r="I6" s="61">
        <v>0</v>
      </c>
      <c r="J6" s="62">
        <f t="shared" si="0"/>
        <v>54800</v>
      </c>
      <c r="L6" s="63"/>
      <c r="M6" s="63"/>
      <c r="N6" s="63"/>
      <c r="O6" s="63"/>
      <c r="P6" s="63"/>
    </row>
    <row r="7" spans="1:16" x14ac:dyDescent="0.3">
      <c r="A7" s="11">
        <f t="shared" si="1"/>
        <v>0</v>
      </c>
      <c r="B7" s="57"/>
      <c r="C7" s="58"/>
      <c r="D7" s="67" t="s">
        <v>198</v>
      </c>
      <c r="E7" s="61">
        <v>0</v>
      </c>
      <c r="F7" s="61">
        <v>0</v>
      </c>
      <c r="G7" s="61">
        <v>0</v>
      </c>
      <c r="H7" s="61">
        <v>0</v>
      </c>
      <c r="I7" s="61">
        <v>7000</v>
      </c>
      <c r="J7" s="62">
        <f t="shared" si="0"/>
        <v>7000</v>
      </c>
      <c r="L7" s="63"/>
      <c r="M7" s="63"/>
      <c r="N7" s="63"/>
      <c r="O7" s="63"/>
      <c r="P7" s="63"/>
    </row>
    <row r="8" spans="1:16" x14ac:dyDescent="0.3">
      <c r="A8" s="11">
        <f t="shared" si="1"/>
        <v>45297</v>
      </c>
      <c r="B8" s="57">
        <v>100000</v>
      </c>
      <c r="C8" s="58">
        <v>45291</v>
      </c>
      <c r="D8" s="60" t="s">
        <v>199</v>
      </c>
      <c r="E8" s="61">
        <v>48900</v>
      </c>
      <c r="F8" s="61">
        <v>101900</v>
      </c>
      <c r="G8" s="61">
        <v>1400</v>
      </c>
      <c r="H8" s="61">
        <v>0</v>
      </c>
      <c r="I8" s="61">
        <v>0</v>
      </c>
      <c r="J8" s="62">
        <f t="shared" si="0"/>
        <v>152200</v>
      </c>
      <c r="L8" s="63"/>
      <c r="M8" s="63"/>
      <c r="N8" s="63"/>
      <c r="O8" s="63"/>
      <c r="P8" s="63"/>
    </row>
    <row r="9" spans="1:16" x14ac:dyDescent="0.3">
      <c r="A9" s="11">
        <f t="shared" si="1"/>
        <v>45332</v>
      </c>
      <c r="B9" s="57">
        <v>48000</v>
      </c>
      <c r="C9" s="58">
        <v>45330</v>
      </c>
      <c r="D9" s="68" t="s">
        <v>199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6">
        <f t="shared" si="0"/>
        <v>0</v>
      </c>
      <c r="L9" s="63"/>
      <c r="M9" s="63"/>
      <c r="N9" s="63"/>
      <c r="O9" s="63"/>
      <c r="P9" s="63"/>
    </row>
    <row r="10" spans="1:16" x14ac:dyDescent="0.3">
      <c r="A10" s="11">
        <f t="shared" si="1"/>
        <v>45290</v>
      </c>
      <c r="B10" s="57">
        <v>80000</v>
      </c>
      <c r="C10" s="58">
        <v>45285</v>
      </c>
      <c r="D10" s="60" t="s">
        <v>200</v>
      </c>
      <c r="E10" s="61">
        <v>0</v>
      </c>
      <c r="F10" s="61">
        <v>83200</v>
      </c>
      <c r="G10" s="61">
        <v>68200</v>
      </c>
      <c r="H10" s="61">
        <v>18000</v>
      </c>
      <c r="I10" s="61">
        <v>21200</v>
      </c>
      <c r="J10" s="62">
        <f t="shared" si="0"/>
        <v>190600</v>
      </c>
      <c r="L10" s="63"/>
      <c r="M10" s="63"/>
      <c r="N10" s="63"/>
      <c r="O10" s="63"/>
      <c r="P10" s="63"/>
    </row>
    <row r="11" spans="1:16" x14ac:dyDescent="0.3">
      <c r="A11" s="11">
        <f t="shared" si="1"/>
        <v>45318</v>
      </c>
      <c r="B11" s="57">
        <v>80000</v>
      </c>
      <c r="C11" s="58">
        <v>45316</v>
      </c>
      <c r="D11" s="68" t="s">
        <v>200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6">
        <f t="shared" si="0"/>
        <v>0</v>
      </c>
      <c r="L11" s="63"/>
      <c r="M11" s="63"/>
      <c r="N11" s="63"/>
      <c r="O11" s="63"/>
      <c r="P11" s="63"/>
    </row>
    <row r="12" spans="1:16" x14ac:dyDescent="0.3">
      <c r="A12" s="11">
        <f t="shared" si="1"/>
        <v>45283</v>
      </c>
      <c r="B12" s="57">
        <v>150000</v>
      </c>
      <c r="C12" s="58">
        <v>45280</v>
      </c>
      <c r="D12" s="67" t="s">
        <v>201</v>
      </c>
      <c r="E12" s="61">
        <v>150000</v>
      </c>
      <c r="F12" s="61">
        <v>0</v>
      </c>
      <c r="G12" s="61">
        <v>0</v>
      </c>
      <c r="H12" s="61">
        <v>0</v>
      </c>
      <c r="I12" s="61">
        <v>0</v>
      </c>
      <c r="J12" s="62">
        <f t="shared" si="0"/>
        <v>150000</v>
      </c>
      <c r="L12" s="63"/>
      <c r="M12" s="63"/>
      <c r="N12" s="63"/>
      <c r="O12" s="63"/>
      <c r="P12" s="63"/>
    </row>
    <row r="13" spans="1:16" x14ac:dyDescent="0.3">
      <c r="A13" s="11">
        <f t="shared" si="1"/>
        <v>0</v>
      </c>
      <c r="B13" s="57"/>
      <c r="C13" s="58"/>
      <c r="D13" s="60" t="s">
        <v>167</v>
      </c>
      <c r="E13" s="61">
        <v>0</v>
      </c>
      <c r="F13" s="61">
        <v>0</v>
      </c>
      <c r="G13" s="61">
        <v>0</v>
      </c>
      <c r="H13" s="61">
        <v>0</v>
      </c>
      <c r="I13" s="61">
        <v>500</v>
      </c>
      <c r="J13" s="62">
        <f t="shared" si="0"/>
        <v>500</v>
      </c>
      <c r="L13" s="63"/>
      <c r="M13" s="63"/>
      <c r="N13" s="63"/>
      <c r="O13" s="63"/>
      <c r="P13" s="63"/>
    </row>
    <row r="14" spans="1:16" x14ac:dyDescent="0.3">
      <c r="A14" s="11">
        <f t="shared" si="1"/>
        <v>0</v>
      </c>
      <c r="B14" s="57"/>
      <c r="C14" s="58"/>
      <c r="D14" s="60" t="s">
        <v>202</v>
      </c>
      <c r="E14" s="61">
        <v>0</v>
      </c>
      <c r="F14" s="61">
        <v>0</v>
      </c>
      <c r="G14" s="61">
        <v>0</v>
      </c>
      <c r="H14" s="61">
        <v>0</v>
      </c>
      <c r="I14" s="61">
        <v>500</v>
      </c>
      <c r="J14" s="62">
        <f t="shared" si="0"/>
        <v>500</v>
      </c>
      <c r="L14" s="63"/>
      <c r="M14" s="63"/>
      <c r="N14" s="63"/>
      <c r="O14" s="63"/>
      <c r="P14" s="63"/>
    </row>
    <row r="15" spans="1:16" x14ac:dyDescent="0.3">
      <c r="A15" s="11">
        <f t="shared" si="1"/>
        <v>0</v>
      </c>
      <c r="B15" s="57"/>
      <c r="C15" s="58"/>
      <c r="D15" s="67" t="s">
        <v>203</v>
      </c>
      <c r="E15" s="61">
        <v>0</v>
      </c>
      <c r="F15" s="61">
        <v>0</v>
      </c>
      <c r="G15" s="61">
        <v>0</v>
      </c>
      <c r="H15" s="61">
        <v>0</v>
      </c>
      <c r="I15" s="61">
        <v>7500</v>
      </c>
      <c r="J15" s="62">
        <f t="shared" si="0"/>
        <v>7500</v>
      </c>
      <c r="L15" s="63"/>
      <c r="M15" s="63"/>
      <c r="N15" s="63"/>
      <c r="O15" s="63"/>
      <c r="P15" s="63"/>
    </row>
    <row r="16" spans="1:16" x14ac:dyDescent="0.3">
      <c r="A16" s="11">
        <f t="shared" si="1"/>
        <v>45283</v>
      </c>
      <c r="B16" s="57">
        <v>43800</v>
      </c>
      <c r="C16" s="58">
        <v>45280</v>
      </c>
      <c r="D16" s="67" t="s">
        <v>204</v>
      </c>
      <c r="E16" s="61">
        <v>0</v>
      </c>
      <c r="F16" s="61">
        <v>43800</v>
      </c>
      <c r="G16" s="61">
        <v>0</v>
      </c>
      <c r="H16" s="61">
        <v>0</v>
      </c>
      <c r="I16" s="61">
        <v>0</v>
      </c>
      <c r="J16" s="62">
        <f t="shared" si="0"/>
        <v>43800</v>
      </c>
      <c r="L16" s="63"/>
      <c r="M16" s="63"/>
      <c r="N16" s="63"/>
      <c r="O16" s="63"/>
      <c r="P16" s="63"/>
    </row>
    <row r="17" spans="1:16" x14ac:dyDescent="0.3">
      <c r="A17" s="11">
        <f t="shared" si="1"/>
        <v>0</v>
      </c>
      <c r="B17" s="57"/>
      <c r="C17" s="58"/>
      <c r="D17" s="60" t="s">
        <v>205</v>
      </c>
      <c r="E17" s="61">
        <v>0</v>
      </c>
      <c r="F17" s="61">
        <v>0</v>
      </c>
      <c r="G17" s="61">
        <v>0</v>
      </c>
      <c r="H17" s="61">
        <v>0</v>
      </c>
      <c r="I17" s="61">
        <v>900</v>
      </c>
      <c r="J17" s="62">
        <f t="shared" si="0"/>
        <v>900</v>
      </c>
      <c r="L17" s="63"/>
      <c r="M17" s="63"/>
      <c r="N17" s="63"/>
      <c r="O17" s="63"/>
      <c r="P17" s="63"/>
    </row>
    <row r="18" spans="1:16" x14ac:dyDescent="0.3">
      <c r="A18" s="11">
        <f t="shared" si="1"/>
        <v>0</v>
      </c>
      <c r="B18" s="57"/>
      <c r="C18" s="58"/>
      <c r="D18" s="67" t="s">
        <v>206</v>
      </c>
      <c r="E18" s="61">
        <v>0</v>
      </c>
      <c r="F18" s="61">
        <v>0</v>
      </c>
      <c r="G18" s="61">
        <v>0</v>
      </c>
      <c r="H18" s="61">
        <v>15100</v>
      </c>
      <c r="I18" s="61">
        <v>0</v>
      </c>
      <c r="J18" s="62">
        <f t="shared" si="0"/>
        <v>15100</v>
      </c>
      <c r="L18" s="63"/>
      <c r="M18" s="63"/>
      <c r="N18" s="63"/>
      <c r="O18" s="63"/>
      <c r="P18" s="63"/>
    </row>
    <row r="19" spans="1:16" x14ac:dyDescent="0.3">
      <c r="A19" s="11">
        <f t="shared" si="1"/>
        <v>0</v>
      </c>
      <c r="B19" s="57"/>
      <c r="C19" s="58"/>
      <c r="D19" s="67" t="s">
        <v>207</v>
      </c>
      <c r="E19" s="61">
        <v>0</v>
      </c>
      <c r="F19" s="61">
        <v>0</v>
      </c>
      <c r="G19" s="61">
        <v>0</v>
      </c>
      <c r="H19" s="61">
        <v>0</v>
      </c>
      <c r="I19" s="61">
        <v>1000</v>
      </c>
      <c r="J19" s="62">
        <f t="shared" si="0"/>
        <v>1000</v>
      </c>
      <c r="L19" s="63"/>
      <c r="M19" s="63"/>
      <c r="N19" s="63"/>
      <c r="O19" s="63"/>
      <c r="P19" s="63"/>
    </row>
    <row r="20" spans="1:16" x14ac:dyDescent="0.3">
      <c r="A20" s="11">
        <f t="shared" si="1"/>
        <v>0</v>
      </c>
      <c r="B20" s="57"/>
      <c r="C20" s="58"/>
      <c r="D20" s="67" t="s">
        <v>208</v>
      </c>
      <c r="E20" s="61">
        <v>0</v>
      </c>
      <c r="F20" s="61">
        <v>0</v>
      </c>
      <c r="G20" s="61">
        <v>0</v>
      </c>
      <c r="H20" s="61">
        <v>0</v>
      </c>
      <c r="I20" s="61">
        <v>700</v>
      </c>
      <c r="J20" s="62">
        <f t="shared" si="0"/>
        <v>700</v>
      </c>
      <c r="L20" s="63"/>
      <c r="M20" s="63"/>
      <c r="N20" s="63"/>
      <c r="O20" s="63"/>
      <c r="P20" s="63"/>
    </row>
    <row r="21" spans="1:16" x14ac:dyDescent="0.3">
      <c r="A21" s="11">
        <f t="shared" si="1"/>
        <v>0</v>
      </c>
      <c r="B21" s="57"/>
      <c r="C21" s="58"/>
      <c r="D21" s="67" t="s">
        <v>209</v>
      </c>
      <c r="E21" s="61">
        <v>0</v>
      </c>
      <c r="F21" s="61">
        <v>0</v>
      </c>
      <c r="G21" s="61">
        <v>0</v>
      </c>
      <c r="H21" s="61">
        <v>0</v>
      </c>
      <c r="I21" s="61">
        <v>1000</v>
      </c>
      <c r="J21" s="62">
        <f t="shared" si="0"/>
        <v>1000</v>
      </c>
      <c r="L21" s="63"/>
      <c r="M21" s="63"/>
      <c r="N21" s="63"/>
      <c r="O21" s="63"/>
      <c r="P21" s="63"/>
    </row>
    <row r="22" spans="1:16" x14ac:dyDescent="0.3">
      <c r="A22" s="11">
        <f t="shared" si="1"/>
        <v>45332</v>
      </c>
      <c r="B22" s="78">
        <f>250000*0</f>
        <v>0</v>
      </c>
      <c r="C22" s="79">
        <v>45330</v>
      </c>
      <c r="D22" s="81" t="s">
        <v>210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3">
        <f t="shared" si="0"/>
        <v>0</v>
      </c>
      <c r="L22" s="63"/>
      <c r="M22" s="63"/>
      <c r="N22" s="63"/>
      <c r="O22" s="63"/>
      <c r="P22" s="63"/>
    </row>
    <row r="23" spans="1:16" x14ac:dyDescent="0.3">
      <c r="A23" s="11">
        <f t="shared" si="1"/>
        <v>0</v>
      </c>
      <c r="B23" s="57"/>
      <c r="C23" s="58"/>
      <c r="D23" s="67" t="s">
        <v>211</v>
      </c>
      <c r="E23" s="61">
        <v>0</v>
      </c>
      <c r="F23" s="61">
        <v>0</v>
      </c>
      <c r="G23" s="61">
        <v>0</v>
      </c>
      <c r="H23" s="61">
        <v>0</v>
      </c>
      <c r="I23" s="61">
        <v>900</v>
      </c>
      <c r="J23" s="62">
        <f t="shared" si="0"/>
        <v>900</v>
      </c>
      <c r="L23" s="63"/>
      <c r="M23" s="63"/>
      <c r="N23" s="63"/>
      <c r="O23" s="63"/>
      <c r="P23" s="63"/>
    </row>
    <row r="24" spans="1:16" x14ac:dyDescent="0.3">
      <c r="A24" s="11">
        <f t="shared" si="1"/>
        <v>0</v>
      </c>
      <c r="B24" s="57"/>
      <c r="C24" s="58"/>
      <c r="D24" s="60" t="s">
        <v>212</v>
      </c>
      <c r="E24" s="61">
        <v>0</v>
      </c>
      <c r="F24" s="61">
        <v>0</v>
      </c>
      <c r="G24" s="61">
        <v>0</v>
      </c>
      <c r="H24" s="61">
        <v>0</v>
      </c>
      <c r="I24" s="61">
        <v>500</v>
      </c>
      <c r="J24" s="62">
        <f t="shared" si="0"/>
        <v>500</v>
      </c>
      <c r="L24" s="63"/>
      <c r="M24" s="63"/>
      <c r="N24" s="63"/>
      <c r="O24" s="63"/>
      <c r="P24" s="63"/>
    </row>
    <row r="25" spans="1:16" x14ac:dyDescent="0.3">
      <c r="A25" s="11">
        <f t="shared" si="1"/>
        <v>45276</v>
      </c>
      <c r="B25" s="57">
        <v>120000</v>
      </c>
      <c r="C25" s="58">
        <v>45275</v>
      </c>
      <c r="D25" s="60" t="s">
        <v>213</v>
      </c>
      <c r="E25" s="61">
        <v>83900</v>
      </c>
      <c r="F25" s="61">
        <v>132800</v>
      </c>
      <c r="G25" s="61">
        <v>8400</v>
      </c>
      <c r="H25" s="61">
        <v>1500</v>
      </c>
      <c r="I25" s="61">
        <v>90500</v>
      </c>
      <c r="J25" s="62">
        <f t="shared" si="0"/>
        <v>317100</v>
      </c>
      <c r="L25" s="63"/>
      <c r="M25" s="63"/>
      <c r="N25" s="63"/>
      <c r="O25" s="63"/>
      <c r="P25" s="63"/>
    </row>
    <row r="26" spans="1:16" x14ac:dyDescent="0.3">
      <c r="A26" s="11">
        <f t="shared" si="1"/>
        <v>45311</v>
      </c>
      <c r="B26" s="57">
        <v>80000</v>
      </c>
      <c r="C26" s="58">
        <v>45306</v>
      </c>
      <c r="D26" s="68" t="s">
        <v>213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6">
        <f t="shared" si="0"/>
        <v>0</v>
      </c>
      <c r="L26" s="63"/>
      <c r="M26" s="63"/>
      <c r="N26" s="63"/>
      <c r="O26" s="63"/>
      <c r="P26" s="63"/>
    </row>
    <row r="27" spans="1:16" x14ac:dyDescent="0.3">
      <c r="A27" s="11">
        <f t="shared" si="1"/>
        <v>0</v>
      </c>
      <c r="B27" s="57"/>
      <c r="C27" s="58"/>
      <c r="D27" s="60" t="s">
        <v>214</v>
      </c>
      <c r="E27" s="61">
        <v>0</v>
      </c>
      <c r="F27" s="61">
        <v>0</v>
      </c>
      <c r="G27" s="61">
        <v>0</v>
      </c>
      <c r="H27" s="61">
        <v>0</v>
      </c>
      <c r="I27" s="61">
        <v>23200</v>
      </c>
      <c r="J27" s="62">
        <f t="shared" si="0"/>
        <v>23200</v>
      </c>
      <c r="L27" s="63"/>
      <c r="M27" s="63"/>
      <c r="N27" s="63"/>
      <c r="O27" s="63"/>
      <c r="P27" s="63"/>
    </row>
    <row r="28" spans="1:16" x14ac:dyDescent="0.3">
      <c r="A28" s="11">
        <f t="shared" si="1"/>
        <v>0</v>
      </c>
      <c r="B28" s="57"/>
      <c r="C28" s="58"/>
      <c r="D28" s="60" t="s">
        <v>215</v>
      </c>
      <c r="E28" s="61">
        <v>0</v>
      </c>
      <c r="F28" s="61">
        <v>0</v>
      </c>
      <c r="G28" s="61">
        <v>0</v>
      </c>
      <c r="H28" s="61">
        <v>0</v>
      </c>
      <c r="I28" s="61">
        <v>14000</v>
      </c>
      <c r="J28" s="62">
        <f t="shared" si="0"/>
        <v>14000</v>
      </c>
      <c r="L28" s="63"/>
      <c r="M28" s="63"/>
      <c r="N28" s="63"/>
      <c r="O28" s="63"/>
      <c r="P28" s="63"/>
    </row>
    <row r="29" spans="1:16" x14ac:dyDescent="0.3">
      <c r="A29" s="11">
        <f t="shared" si="1"/>
        <v>0</v>
      </c>
      <c r="B29" s="57"/>
      <c r="C29" s="58"/>
      <c r="D29" s="60" t="s">
        <v>216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2">
        <f t="shared" si="0"/>
        <v>0</v>
      </c>
      <c r="L29" s="63"/>
      <c r="M29" s="63"/>
      <c r="N29" s="63"/>
      <c r="O29" s="63"/>
      <c r="P29" s="63"/>
    </row>
    <row r="30" spans="1:16" x14ac:dyDescent="0.3">
      <c r="A30" s="11">
        <f t="shared" si="1"/>
        <v>45332</v>
      </c>
      <c r="B30" s="78">
        <f>150000*0</f>
        <v>0</v>
      </c>
      <c r="C30" s="79">
        <v>45330</v>
      </c>
      <c r="D30" s="84" t="s">
        <v>217</v>
      </c>
      <c r="E30" s="82">
        <v>0</v>
      </c>
      <c r="F30" s="82">
        <v>0</v>
      </c>
      <c r="G30" s="82">
        <v>0</v>
      </c>
      <c r="H30" s="82">
        <v>0</v>
      </c>
      <c r="I30" s="82">
        <v>150000</v>
      </c>
      <c r="J30" s="83">
        <f t="shared" si="0"/>
        <v>150000</v>
      </c>
      <c r="L30" s="63"/>
      <c r="M30" s="63"/>
      <c r="N30" s="63"/>
      <c r="O30" s="63"/>
      <c r="P30" s="63"/>
    </row>
    <row r="31" spans="1:16" x14ac:dyDescent="0.3">
      <c r="A31" s="11">
        <f t="shared" si="1"/>
        <v>45283</v>
      </c>
      <c r="B31" s="57">
        <v>30700</v>
      </c>
      <c r="C31" s="58">
        <v>45280</v>
      </c>
      <c r="D31" s="60" t="s">
        <v>218</v>
      </c>
      <c r="E31" s="61">
        <v>30700</v>
      </c>
      <c r="F31" s="61">
        <v>0</v>
      </c>
      <c r="G31" s="61">
        <v>0</v>
      </c>
      <c r="H31" s="61">
        <v>0</v>
      </c>
      <c r="I31" s="61">
        <v>0</v>
      </c>
      <c r="J31" s="62">
        <f t="shared" si="0"/>
        <v>30700</v>
      </c>
      <c r="L31" s="63"/>
      <c r="M31" s="63"/>
      <c r="N31" s="63"/>
      <c r="O31" s="63"/>
      <c r="P31" s="63"/>
    </row>
    <row r="32" spans="1:16" x14ac:dyDescent="0.3">
      <c r="A32" s="11">
        <f t="shared" si="1"/>
        <v>45283</v>
      </c>
      <c r="B32" s="57">
        <v>100000</v>
      </c>
      <c r="C32" s="58">
        <v>45280</v>
      </c>
      <c r="D32" s="60" t="s">
        <v>219</v>
      </c>
      <c r="E32" s="61">
        <v>106700</v>
      </c>
      <c r="F32" s="61">
        <v>900</v>
      </c>
      <c r="G32" s="61">
        <v>1000</v>
      </c>
      <c r="H32" s="61">
        <v>2000</v>
      </c>
      <c r="I32" s="61">
        <v>2600</v>
      </c>
      <c r="J32" s="62">
        <f t="shared" si="0"/>
        <v>113200</v>
      </c>
      <c r="L32" s="63"/>
      <c r="M32" s="63"/>
      <c r="N32" s="63"/>
      <c r="O32" s="63"/>
      <c r="P32" s="63"/>
    </row>
    <row r="33" spans="1:16" x14ac:dyDescent="0.3">
      <c r="A33" s="11">
        <f t="shared" si="1"/>
        <v>45283</v>
      </c>
      <c r="B33" s="57">
        <v>38500</v>
      </c>
      <c r="C33" s="58">
        <v>45280</v>
      </c>
      <c r="D33" s="67" t="s">
        <v>220</v>
      </c>
      <c r="E33" s="61">
        <v>27000</v>
      </c>
      <c r="F33" s="61">
        <v>0</v>
      </c>
      <c r="G33" s="61">
        <v>11500</v>
      </c>
      <c r="H33" s="61">
        <v>0</v>
      </c>
      <c r="I33" s="61">
        <v>0</v>
      </c>
      <c r="J33" s="62">
        <f t="shared" si="0"/>
        <v>38500</v>
      </c>
      <c r="L33" s="63"/>
      <c r="M33" s="63"/>
      <c r="N33" s="63"/>
      <c r="O33" s="63"/>
      <c r="P33" s="63"/>
    </row>
    <row r="34" spans="1:16" x14ac:dyDescent="0.3">
      <c r="A34" s="11">
        <f t="shared" si="1"/>
        <v>0</v>
      </c>
      <c r="B34" s="57"/>
      <c r="C34" s="58"/>
      <c r="D34" s="60" t="s">
        <v>221</v>
      </c>
      <c r="E34" s="61">
        <v>0</v>
      </c>
      <c r="F34" s="61">
        <v>0</v>
      </c>
      <c r="G34" s="61">
        <v>0</v>
      </c>
      <c r="H34" s="61">
        <v>0</v>
      </c>
      <c r="I34" s="61">
        <v>29600</v>
      </c>
      <c r="J34" s="62">
        <f t="shared" si="0"/>
        <v>29600</v>
      </c>
      <c r="L34" s="63"/>
      <c r="M34" s="63"/>
      <c r="N34" s="63"/>
      <c r="O34" s="63"/>
      <c r="P34" s="63"/>
    </row>
    <row r="35" spans="1:16" x14ac:dyDescent="0.3">
      <c r="A35" s="11">
        <f t="shared" si="1"/>
        <v>0</v>
      </c>
      <c r="B35" s="57"/>
      <c r="C35" s="58"/>
      <c r="D35" s="60" t="s">
        <v>222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2">
        <f t="shared" si="0"/>
        <v>0</v>
      </c>
      <c r="L35" s="63"/>
      <c r="M35" s="63"/>
      <c r="N35" s="63"/>
      <c r="O35" s="63"/>
      <c r="P35" s="63"/>
    </row>
    <row r="36" spans="1:16" x14ac:dyDescent="0.3">
      <c r="A36" s="11">
        <f t="shared" si="1"/>
        <v>45311</v>
      </c>
      <c r="B36" s="57">
        <v>50000</v>
      </c>
      <c r="C36" s="58">
        <v>45311</v>
      </c>
      <c r="D36" s="68" t="s">
        <v>223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6">
        <f t="shared" si="0"/>
        <v>0</v>
      </c>
      <c r="L36" s="63"/>
      <c r="M36" s="63"/>
      <c r="N36" s="63"/>
      <c r="O36" s="63"/>
      <c r="P36" s="63"/>
    </row>
    <row r="37" spans="1:16" x14ac:dyDescent="0.3">
      <c r="A37" s="11">
        <f t="shared" si="1"/>
        <v>45346</v>
      </c>
      <c r="B37" s="57">
        <v>150000</v>
      </c>
      <c r="C37" s="58">
        <v>45342</v>
      </c>
      <c r="D37" s="68" t="s">
        <v>223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6">
        <f t="shared" si="0"/>
        <v>0</v>
      </c>
      <c r="L37" s="63"/>
      <c r="M37" s="63"/>
      <c r="N37" s="63"/>
      <c r="O37" s="63"/>
      <c r="P37" s="63"/>
    </row>
    <row r="38" spans="1:16" x14ac:dyDescent="0.3">
      <c r="A38" s="11">
        <f t="shared" si="1"/>
        <v>45311</v>
      </c>
      <c r="B38" s="57">
        <v>66800</v>
      </c>
      <c r="C38" s="58">
        <v>45306</v>
      </c>
      <c r="D38" s="67" t="s">
        <v>224</v>
      </c>
      <c r="E38" s="61">
        <v>0</v>
      </c>
      <c r="F38" s="61">
        <v>300</v>
      </c>
      <c r="G38" s="61">
        <v>0</v>
      </c>
      <c r="H38" s="61">
        <v>2400</v>
      </c>
      <c r="I38" s="61">
        <v>64000</v>
      </c>
      <c r="J38" s="62">
        <f t="shared" si="0"/>
        <v>66700</v>
      </c>
      <c r="L38" s="63"/>
      <c r="M38" s="63"/>
      <c r="N38" s="63"/>
      <c r="O38" s="63"/>
      <c r="P38" s="63"/>
    </row>
    <row r="39" spans="1:16" x14ac:dyDescent="0.3">
      <c r="A39" s="11">
        <f t="shared" si="1"/>
        <v>45346</v>
      </c>
      <c r="B39" s="57">
        <v>75000</v>
      </c>
      <c r="C39" s="58">
        <v>45342</v>
      </c>
      <c r="D39" s="64" t="s">
        <v>225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6">
        <f t="shared" si="0"/>
        <v>0</v>
      </c>
      <c r="L39" s="63"/>
      <c r="M39" s="63"/>
      <c r="N39" s="63"/>
      <c r="O39" s="63"/>
      <c r="P39" s="63"/>
    </row>
    <row r="40" spans="1:16" x14ac:dyDescent="0.3">
      <c r="A40" s="11">
        <f t="shared" si="1"/>
        <v>0</v>
      </c>
      <c r="B40" s="57"/>
      <c r="C40" s="58"/>
      <c r="D40" s="60" t="s">
        <v>226</v>
      </c>
      <c r="E40" s="61">
        <v>0</v>
      </c>
      <c r="F40" s="61">
        <v>0</v>
      </c>
      <c r="G40" s="61">
        <v>0</v>
      </c>
      <c r="H40" s="61">
        <v>6500</v>
      </c>
      <c r="I40" s="61">
        <v>16100</v>
      </c>
      <c r="J40" s="62">
        <f t="shared" si="0"/>
        <v>22600</v>
      </c>
      <c r="L40" s="63"/>
      <c r="M40" s="63"/>
      <c r="N40" s="63"/>
      <c r="O40" s="63"/>
      <c r="P40" s="63"/>
    </row>
    <row r="41" spans="1:16" x14ac:dyDescent="0.3">
      <c r="A41" s="11">
        <f t="shared" si="1"/>
        <v>0</v>
      </c>
      <c r="B41" s="57"/>
      <c r="C41" s="58"/>
      <c r="D41" s="67" t="s">
        <v>227</v>
      </c>
      <c r="E41" s="61">
        <v>0</v>
      </c>
      <c r="F41" s="61">
        <v>0</v>
      </c>
      <c r="G41" s="61">
        <v>400</v>
      </c>
      <c r="H41" s="61">
        <v>3600</v>
      </c>
      <c r="I41" s="61">
        <v>27600</v>
      </c>
      <c r="J41" s="62">
        <f t="shared" si="0"/>
        <v>31600</v>
      </c>
      <c r="L41" s="63"/>
      <c r="M41" s="63"/>
      <c r="N41" s="63"/>
      <c r="O41" s="63"/>
      <c r="P41" s="63"/>
    </row>
    <row r="42" spans="1:16" x14ac:dyDescent="0.3">
      <c r="A42" s="11">
        <f t="shared" si="1"/>
        <v>0</v>
      </c>
      <c r="B42" s="57"/>
      <c r="C42" s="58"/>
      <c r="D42" s="67" t="s">
        <v>228</v>
      </c>
      <c r="E42" s="61">
        <v>0</v>
      </c>
      <c r="F42" s="61">
        <v>0</v>
      </c>
      <c r="G42" s="61">
        <v>0</v>
      </c>
      <c r="H42" s="61">
        <v>0</v>
      </c>
      <c r="I42" s="61">
        <v>70900</v>
      </c>
      <c r="J42" s="62">
        <f t="shared" si="0"/>
        <v>70900</v>
      </c>
      <c r="L42" s="63"/>
      <c r="M42" s="63"/>
      <c r="N42" s="63"/>
      <c r="O42" s="63"/>
      <c r="P42" s="63"/>
    </row>
    <row r="43" spans="1:16" x14ac:dyDescent="0.3">
      <c r="A43" s="11">
        <f t="shared" si="1"/>
        <v>0</v>
      </c>
      <c r="B43" s="57"/>
      <c r="C43" s="58"/>
      <c r="D43" s="67" t="s">
        <v>229</v>
      </c>
      <c r="E43" s="61">
        <v>0</v>
      </c>
      <c r="F43" s="61">
        <v>700</v>
      </c>
      <c r="G43" s="61">
        <v>900</v>
      </c>
      <c r="H43" s="61">
        <v>2300</v>
      </c>
      <c r="I43" s="61">
        <v>6000</v>
      </c>
      <c r="J43" s="62">
        <f t="shared" si="0"/>
        <v>9900</v>
      </c>
      <c r="L43" s="63"/>
      <c r="M43" s="63"/>
      <c r="N43" s="63"/>
      <c r="O43" s="63"/>
      <c r="P43" s="63"/>
    </row>
    <row r="44" spans="1:16" x14ac:dyDescent="0.3">
      <c r="A44" s="11">
        <f t="shared" si="1"/>
        <v>0</v>
      </c>
      <c r="B44" s="57"/>
      <c r="C44" s="58"/>
      <c r="D44" s="67" t="s">
        <v>230</v>
      </c>
      <c r="E44" s="61">
        <v>0</v>
      </c>
      <c r="F44" s="61">
        <v>0</v>
      </c>
      <c r="G44" s="61">
        <v>0</v>
      </c>
      <c r="H44" s="61">
        <v>0</v>
      </c>
      <c r="I44" s="61">
        <v>30400</v>
      </c>
      <c r="J44" s="62">
        <f t="shared" si="0"/>
        <v>30400</v>
      </c>
      <c r="L44" s="63"/>
      <c r="M44" s="63"/>
      <c r="N44" s="63"/>
      <c r="O44" s="63"/>
      <c r="P44" s="63"/>
    </row>
    <row r="45" spans="1:16" x14ac:dyDescent="0.3">
      <c r="A45" s="11">
        <f t="shared" si="1"/>
        <v>0</v>
      </c>
      <c r="B45" s="57"/>
      <c r="C45" s="58"/>
      <c r="D45" s="67" t="s">
        <v>231</v>
      </c>
      <c r="E45" s="61">
        <v>0</v>
      </c>
      <c r="F45" s="61">
        <v>0</v>
      </c>
      <c r="G45" s="61">
        <v>0</v>
      </c>
      <c r="H45" s="61">
        <v>0</v>
      </c>
      <c r="I45" s="61">
        <v>9600</v>
      </c>
      <c r="J45" s="62">
        <f t="shared" si="0"/>
        <v>9600</v>
      </c>
      <c r="L45" s="63"/>
      <c r="M45" s="63"/>
      <c r="N45" s="63"/>
      <c r="O45" s="63"/>
      <c r="P45" s="63"/>
    </row>
    <row r="46" spans="1:16" x14ac:dyDescent="0.3">
      <c r="A46" s="11">
        <f t="shared" si="1"/>
        <v>45283</v>
      </c>
      <c r="B46" s="57">
        <v>125100</v>
      </c>
      <c r="C46" s="58">
        <v>45280</v>
      </c>
      <c r="D46" s="67" t="s">
        <v>232</v>
      </c>
      <c r="E46" s="61">
        <v>0</v>
      </c>
      <c r="F46" s="61">
        <v>113200</v>
      </c>
      <c r="G46" s="61">
        <v>0</v>
      </c>
      <c r="H46" s="61">
        <v>2700</v>
      </c>
      <c r="I46" s="61">
        <v>9100</v>
      </c>
      <c r="J46" s="62">
        <f t="shared" si="0"/>
        <v>125000</v>
      </c>
      <c r="L46" s="63"/>
      <c r="M46" s="63"/>
      <c r="N46" s="63"/>
      <c r="O46" s="63"/>
      <c r="P46" s="63"/>
    </row>
  </sheetData>
  <autoFilter ref="A2:J2" xr:uid="{765436EF-D92D-4FF8-958D-154C69B5B61B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36EF-D92D-4FF8-958D-154C69B5B61B}">
  <sheetPr>
    <tabColor rgb="FFFFFF99"/>
  </sheetPr>
  <dimension ref="A1:P46"/>
  <sheetViews>
    <sheetView showGridLines="0" zoomScale="125" zoomScaleNormal="125" workbookViewId="0">
      <pane ySplit="2" topLeftCell="A3" activePane="bottomLeft" state="frozen"/>
      <selection activeCell="Q25" sqref="Q25"/>
      <selection pane="bottomLeft" activeCell="A3" sqref="A3"/>
    </sheetView>
  </sheetViews>
  <sheetFormatPr defaultRowHeight="13" x14ac:dyDescent="0.3"/>
  <cols>
    <col min="1" max="1" width="13.3984375" bestFit="1" customWidth="1"/>
    <col min="2" max="10" width="15.69921875" customWidth="1"/>
  </cols>
  <sheetData>
    <row r="1" spans="1:16" ht="15" thickBot="1" x14ac:dyDescent="0.5">
      <c r="B1" s="50" t="s">
        <v>144</v>
      </c>
      <c r="C1" s="51"/>
      <c r="D1" s="52" t="s">
        <v>194</v>
      </c>
      <c r="E1" s="53"/>
      <c r="F1" s="53"/>
      <c r="G1" s="53"/>
      <c r="H1" s="53"/>
      <c r="I1" s="53"/>
      <c r="J1" s="54"/>
    </row>
    <row r="2" spans="1:16" x14ac:dyDescent="0.3">
      <c r="A2" s="49" t="s">
        <v>28</v>
      </c>
      <c r="B2" s="55" t="s">
        <v>146</v>
      </c>
      <c r="C2" s="55" t="s">
        <v>147</v>
      </c>
      <c r="D2" s="56" t="s">
        <v>195</v>
      </c>
      <c r="E2" s="55" t="s">
        <v>150</v>
      </c>
      <c r="F2" s="55" t="s">
        <v>151</v>
      </c>
      <c r="G2" s="55" t="s">
        <v>152</v>
      </c>
      <c r="H2" s="55" t="s">
        <v>153</v>
      </c>
      <c r="I2" s="55" t="s">
        <v>154</v>
      </c>
      <c r="J2" s="55" t="s">
        <v>155</v>
      </c>
    </row>
    <row r="3" spans="1:16" x14ac:dyDescent="0.3">
      <c r="A3" s="11">
        <f>C3+7-WEEKDAY(C3+7-7)</f>
        <v>45283</v>
      </c>
      <c r="B3" s="57">
        <v>65900</v>
      </c>
      <c r="C3" s="58">
        <v>45280</v>
      </c>
      <c r="D3" s="60" t="s">
        <v>196</v>
      </c>
      <c r="E3" s="61">
        <v>65900</v>
      </c>
      <c r="F3" s="61">
        <v>0</v>
      </c>
      <c r="G3" s="61">
        <v>0</v>
      </c>
      <c r="H3" s="61">
        <v>0</v>
      </c>
      <c r="I3" s="61">
        <v>0</v>
      </c>
      <c r="J3" s="62">
        <f t="shared" ref="J3:J46" si="0">SUM(E3:I3)</f>
        <v>65900</v>
      </c>
      <c r="L3" s="63"/>
      <c r="M3" s="63"/>
      <c r="N3" s="63"/>
      <c r="O3" s="63"/>
      <c r="P3" s="63"/>
    </row>
    <row r="4" spans="1:16" x14ac:dyDescent="0.3">
      <c r="A4" s="11">
        <f t="shared" ref="A4:A46" si="1">C4+7-WEEKDAY(C4+7-7)</f>
        <v>45311</v>
      </c>
      <c r="B4" s="57">
        <v>75000</v>
      </c>
      <c r="C4" s="58">
        <v>45311</v>
      </c>
      <c r="D4" s="64" t="s">
        <v>196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6">
        <f t="shared" si="0"/>
        <v>0</v>
      </c>
      <c r="L4" s="63"/>
      <c r="M4" s="63"/>
      <c r="N4" s="63"/>
      <c r="O4" s="63"/>
      <c r="P4" s="63"/>
    </row>
    <row r="5" spans="1:16" x14ac:dyDescent="0.3">
      <c r="A5" s="11">
        <f t="shared" si="1"/>
        <v>45346</v>
      </c>
      <c r="B5" s="57">
        <v>100000</v>
      </c>
      <c r="C5" s="58">
        <v>45342</v>
      </c>
      <c r="D5" s="64" t="s">
        <v>196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6">
        <f t="shared" si="0"/>
        <v>0</v>
      </c>
      <c r="L5" s="63"/>
      <c r="M5" s="63"/>
      <c r="N5" s="63"/>
      <c r="O5" s="63"/>
      <c r="P5" s="63"/>
    </row>
    <row r="6" spans="1:16" x14ac:dyDescent="0.3">
      <c r="A6" s="11">
        <f t="shared" si="1"/>
        <v>45269</v>
      </c>
      <c r="B6" s="57">
        <v>225000</v>
      </c>
      <c r="C6" s="58">
        <v>45269</v>
      </c>
      <c r="D6" s="60" t="s">
        <v>197</v>
      </c>
      <c r="E6" s="61">
        <v>0</v>
      </c>
      <c r="F6" s="61">
        <v>240300</v>
      </c>
      <c r="G6" s="61">
        <v>25000</v>
      </c>
      <c r="H6" s="61">
        <v>16700</v>
      </c>
      <c r="I6" s="61">
        <v>0</v>
      </c>
      <c r="J6" s="62">
        <f t="shared" si="0"/>
        <v>282000</v>
      </c>
      <c r="L6" s="63"/>
      <c r="M6" s="63"/>
      <c r="N6" s="63"/>
      <c r="O6" s="63"/>
      <c r="P6" s="63"/>
    </row>
    <row r="7" spans="1:16" x14ac:dyDescent="0.3">
      <c r="A7" s="11">
        <f t="shared" si="1"/>
        <v>0</v>
      </c>
      <c r="B7" s="57"/>
      <c r="C7" s="58"/>
      <c r="D7" s="60" t="s">
        <v>198</v>
      </c>
      <c r="E7" s="61">
        <v>0</v>
      </c>
      <c r="F7" s="61">
        <v>0</v>
      </c>
      <c r="G7" s="61">
        <v>0</v>
      </c>
      <c r="H7" s="61">
        <v>0</v>
      </c>
      <c r="I7" s="61">
        <v>7000</v>
      </c>
      <c r="J7" s="62">
        <f t="shared" si="0"/>
        <v>7000</v>
      </c>
      <c r="L7" s="63"/>
      <c r="M7" s="63"/>
      <c r="N7" s="63"/>
      <c r="O7" s="63"/>
      <c r="P7" s="63"/>
    </row>
    <row r="8" spans="1:16" x14ac:dyDescent="0.3">
      <c r="A8" s="11">
        <f t="shared" si="1"/>
        <v>45297</v>
      </c>
      <c r="B8" s="57">
        <v>100000</v>
      </c>
      <c r="C8" s="58">
        <v>45291</v>
      </c>
      <c r="D8" s="60" t="s">
        <v>199</v>
      </c>
      <c r="E8" s="61">
        <v>48900</v>
      </c>
      <c r="F8" s="61">
        <v>101900</v>
      </c>
      <c r="G8" s="61">
        <v>1400</v>
      </c>
      <c r="H8" s="61">
        <v>0</v>
      </c>
      <c r="I8" s="61">
        <v>0</v>
      </c>
      <c r="J8" s="62">
        <f t="shared" si="0"/>
        <v>152200</v>
      </c>
      <c r="L8" s="63"/>
      <c r="M8" s="63"/>
      <c r="N8" s="63"/>
      <c r="O8" s="63"/>
      <c r="P8" s="63"/>
    </row>
    <row r="9" spans="1:16" x14ac:dyDescent="0.3">
      <c r="A9" s="11">
        <f t="shared" si="1"/>
        <v>45325</v>
      </c>
      <c r="B9" s="57">
        <v>48000</v>
      </c>
      <c r="C9" s="58">
        <v>45321</v>
      </c>
      <c r="D9" s="68" t="s">
        <v>199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6">
        <f t="shared" si="0"/>
        <v>0</v>
      </c>
      <c r="L9" s="63"/>
      <c r="M9" s="63"/>
      <c r="N9" s="63"/>
      <c r="O9" s="63"/>
      <c r="P9" s="63"/>
    </row>
    <row r="10" spans="1:16" x14ac:dyDescent="0.3">
      <c r="A10" s="11">
        <f t="shared" si="1"/>
        <v>45290</v>
      </c>
      <c r="B10" s="57">
        <v>80000</v>
      </c>
      <c r="C10" s="58">
        <v>45285</v>
      </c>
      <c r="D10" s="60" t="s">
        <v>200</v>
      </c>
      <c r="E10" s="61">
        <v>0</v>
      </c>
      <c r="F10" s="61">
        <v>83200</v>
      </c>
      <c r="G10" s="61">
        <v>68200</v>
      </c>
      <c r="H10" s="61">
        <v>18000</v>
      </c>
      <c r="I10" s="61">
        <v>21200</v>
      </c>
      <c r="J10" s="62">
        <f t="shared" si="0"/>
        <v>190600</v>
      </c>
      <c r="L10" s="63"/>
      <c r="M10" s="63"/>
      <c r="N10" s="63"/>
      <c r="O10" s="63"/>
      <c r="P10" s="63"/>
    </row>
    <row r="11" spans="1:16" x14ac:dyDescent="0.3">
      <c r="A11" s="11">
        <f t="shared" si="1"/>
        <v>45318</v>
      </c>
      <c r="B11" s="57">
        <v>80000</v>
      </c>
      <c r="C11" s="58">
        <v>45316</v>
      </c>
      <c r="D11" s="68" t="s">
        <v>200</v>
      </c>
      <c r="E11" s="65">
        <v>0</v>
      </c>
      <c r="F11" s="65">
        <v>0</v>
      </c>
      <c r="G11" s="65">
        <v>0</v>
      </c>
      <c r="H11" s="65">
        <v>0</v>
      </c>
      <c r="I11" s="65">
        <v>0</v>
      </c>
      <c r="J11" s="66">
        <f t="shared" si="0"/>
        <v>0</v>
      </c>
      <c r="L11" s="63"/>
      <c r="M11" s="63"/>
      <c r="N11" s="63"/>
      <c r="O11" s="63"/>
      <c r="P11" s="63"/>
    </row>
    <row r="12" spans="1:16" x14ac:dyDescent="0.3">
      <c r="A12" s="11">
        <f t="shared" si="1"/>
        <v>45283</v>
      </c>
      <c r="B12" s="57">
        <v>150000</v>
      </c>
      <c r="C12" s="58">
        <v>45280</v>
      </c>
      <c r="D12" s="67" t="s">
        <v>201</v>
      </c>
      <c r="E12" s="61">
        <v>150000</v>
      </c>
      <c r="F12" s="61">
        <v>0</v>
      </c>
      <c r="G12" s="61">
        <v>0</v>
      </c>
      <c r="H12" s="61">
        <v>0</v>
      </c>
      <c r="I12" s="61">
        <v>0</v>
      </c>
      <c r="J12" s="62">
        <f t="shared" si="0"/>
        <v>150000</v>
      </c>
      <c r="L12" s="63"/>
      <c r="M12" s="63"/>
      <c r="N12" s="63"/>
      <c r="O12" s="63"/>
      <c r="P12" s="63"/>
    </row>
    <row r="13" spans="1:16" x14ac:dyDescent="0.3">
      <c r="A13" s="11">
        <f t="shared" si="1"/>
        <v>0</v>
      </c>
      <c r="B13" s="57"/>
      <c r="C13" s="58"/>
      <c r="D13" s="60" t="s">
        <v>167</v>
      </c>
      <c r="E13" s="61">
        <v>0</v>
      </c>
      <c r="F13" s="61">
        <v>0</v>
      </c>
      <c r="G13" s="61">
        <v>0</v>
      </c>
      <c r="H13" s="61">
        <v>0</v>
      </c>
      <c r="I13" s="61">
        <v>500</v>
      </c>
      <c r="J13" s="62">
        <f t="shared" si="0"/>
        <v>500</v>
      </c>
      <c r="L13" s="63"/>
      <c r="M13" s="63"/>
      <c r="N13" s="63"/>
      <c r="O13" s="63"/>
      <c r="P13" s="63"/>
    </row>
    <row r="14" spans="1:16" x14ac:dyDescent="0.3">
      <c r="A14" s="11">
        <f t="shared" si="1"/>
        <v>0</v>
      </c>
      <c r="B14" s="57"/>
      <c r="C14" s="58"/>
      <c r="D14" s="60" t="s">
        <v>202</v>
      </c>
      <c r="E14" s="61">
        <v>0</v>
      </c>
      <c r="F14" s="61">
        <v>0</v>
      </c>
      <c r="G14" s="61">
        <v>0</v>
      </c>
      <c r="H14" s="61">
        <v>0</v>
      </c>
      <c r="I14" s="61">
        <v>500</v>
      </c>
      <c r="J14" s="62">
        <f t="shared" si="0"/>
        <v>500</v>
      </c>
      <c r="L14" s="63"/>
      <c r="M14" s="63"/>
      <c r="N14" s="63"/>
      <c r="O14" s="63"/>
      <c r="P14" s="63"/>
    </row>
    <row r="15" spans="1:16" x14ac:dyDescent="0.3">
      <c r="A15" s="11">
        <f t="shared" si="1"/>
        <v>0</v>
      </c>
      <c r="B15" s="57"/>
      <c r="C15" s="58"/>
      <c r="D15" s="67" t="s">
        <v>203</v>
      </c>
      <c r="E15" s="61">
        <v>0</v>
      </c>
      <c r="F15" s="61">
        <v>0</v>
      </c>
      <c r="G15" s="61">
        <v>0</v>
      </c>
      <c r="H15" s="61">
        <v>0</v>
      </c>
      <c r="I15" s="61">
        <v>7500</v>
      </c>
      <c r="J15" s="62">
        <f t="shared" si="0"/>
        <v>7500</v>
      </c>
      <c r="L15" s="63"/>
      <c r="M15" s="63"/>
      <c r="N15" s="63"/>
      <c r="O15" s="63"/>
      <c r="P15" s="63"/>
    </row>
    <row r="16" spans="1:16" x14ac:dyDescent="0.3">
      <c r="A16" s="11">
        <f t="shared" si="1"/>
        <v>45283</v>
      </c>
      <c r="B16" s="57">
        <v>43800</v>
      </c>
      <c r="C16" s="58">
        <v>45280</v>
      </c>
      <c r="D16" s="67" t="s">
        <v>204</v>
      </c>
      <c r="E16" s="61">
        <v>0</v>
      </c>
      <c r="F16" s="61">
        <v>43800</v>
      </c>
      <c r="G16" s="61">
        <v>0</v>
      </c>
      <c r="H16" s="61">
        <v>12700</v>
      </c>
      <c r="I16" s="61">
        <v>0</v>
      </c>
      <c r="J16" s="62">
        <f t="shared" si="0"/>
        <v>56500</v>
      </c>
      <c r="L16" s="63"/>
      <c r="M16" s="63"/>
      <c r="N16" s="63"/>
      <c r="O16" s="63"/>
      <c r="P16" s="63"/>
    </row>
    <row r="17" spans="1:16" x14ac:dyDescent="0.3">
      <c r="A17" s="11">
        <f t="shared" si="1"/>
        <v>0</v>
      </c>
      <c r="B17" s="57"/>
      <c r="C17" s="58"/>
      <c r="D17" s="60" t="s">
        <v>205</v>
      </c>
      <c r="E17" s="61">
        <v>0</v>
      </c>
      <c r="F17" s="61">
        <v>0</v>
      </c>
      <c r="G17" s="61">
        <v>0</v>
      </c>
      <c r="H17" s="61">
        <v>0</v>
      </c>
      <c r="I17" s="61">
        <v>900</v>
      </c>
      <c r="J17" s="62">
        <f t="shared" si="0"/>
        <v>900</v>
      </c>
      <c r="L17" s="63"/>
      <c r="M17" s="63"/>
      <c r="N17" s="63"/>
      <c r="O17" s="63"/>
      <c r="P17" s="63"/>
    </row>
    <row r="18" spans="1:16" x14ac:dyDescent="0.3">
      <c r="A18" s="11">
        <f t="shared" si="1"/>
        <v>0</v>
      </c>
      <c r="B18" s="57"/>
      <c r="C18" s="58"/>
      <c r="D18" s="67" t="s">
        <v>206</v>
      </c>
      <c r="E18" s="61">
        <v>0</v>
      </c>
      <c r="F18" s="61">
        <v>0</v>
      </c>
      <c r="G18" s="61">
        <v>0</v>
      </c>
      <c r="H18" s="61">
        <v>15100</v>
      </c>
      <c r="I18" s="61">
        <v>0</v>
      </c>
      <c r="J18" s="62">
        <f t="shared" si="0"/>
        <v>15100</v>
      </c>
      <c r="L18" s="63"/>
      <c r="M18" s="63"/>
      <c r="N18" s="63"/>
      <c r="O18" s="63"/>
      <c r="P18" s="63"/>
    </row>
    <row r="19" spans="1:16" x14ac:dyDescent="0.3">
      <c r="A19" s="11">
        <f t="shared" si="1"/>
        <v>0</v>
      </c>
      <c r="B19" s="57"/>
      <c r="C19" s="58"/>
      <c r="D19" s="60" t="s">
        <v>207</v>
      </c>
      <c r="E19" s="61">
        <v>0</v>
      </c>
      <c r="F19" s="61">
        <v>0</v>
      </c>
      <c r="G19" s="61">
        <v>0</v>
      </c>
      <c r="H19" s="61">
        <v>0</v>
      </c>
      <c r="I19" s="61">
        <v>1000</v>
      </c>
      <c r="J19" s="62">
        <f t="shared" si="0"/>
        <v>1000</v>
      </c>
      <c r="L19" s="63"/>
      <c r="M19" s="63"/>
      <c r="N19" s="63"/>
      <c r="O19" s="63"/>
      <c r="P19" s="63"/>
    </row>
    <row r="20" spans="1:16" x14ac:dyDescent="0.3">
      <c r="A20" s="11">
        <f t="shared" si="1"/>
        <v>0</v>
      </c>
      <c r="B20" s="57"/>
      <c r="C20" s="58"/>
      <c r="D20" s="60" t="s">
        <v>208</v>
      </c>
      <c r="E20" s="61">
        <v>0</v>
      </c>
      <c r="F20" s="61">
        <v>0</v>
      </c>
      <c r="G20" s="61">
        <v>0</v>
      </c>
      <c r="H20" s="61">
        <v>0</v>
      </c>
      <c r="I20" s="61">
        <v>700</v>
      </c>
      <c r="J20" s="62">
        <f t="shared" si="0"/>
        <v>700</v>
      </c>
      <c r="L20" s="63"/>
      <c r="M20" s="63"/>
      <c r="N20" s="63"/>
      <c r="O20" s="63"/>
      <c r="P20" s="63"/>
    </row>
    <row r="21" spans="1:16" x14ac:dyDescent="0.3">
      <c r="A21" s="11">
        <f t="shared" si="1"/>
        <v>0</v>
      </c>
      <c r="B21" s="57"/>
      <c r="C21" s="58"/>
      <c r="D21" s="60" t="s">
        <v>209</v>
      </c>
      <c r="E21" s="61">
        <v>0</v>
      </c>
      <c r="F21" s="61">
        <v>0</v>
      </c>
      <c r="G21" s="61">
        <v>0</v>
      </c>
      <c r="H21" s="61">
        <v>0</v>
      </c>
      <c r="I21" s="61">
        <v>1000</v>
      </c>
      <c r="J21" s="62">
        <f t="shared" si="0"/>
        <v>1000</v>
      </c>
      <c r="L21" s="63"/>
      <c r="M21" s="63"/>
      <c r="N21" s="63"/>
      <c r="O21" s="63"/>
      <c r="P21" s="63"/>
    </row>
    <row r="22" spans="1:16" x14ac:dyDescent="0.3">
      <c r="A22" s="11">
        <f t="shared" si="1"/>
        <v>45339</v>
      </c>
      <c r="B22" s="57">
        <v>250000</v>
      </c>
      <c r="C22" s="58">
        <v>45337</v>
      </c>
      <c r="D22" s="64" t="s">
        <v>210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6">
        <f t="shared" si="0"/>
        <v>0</v>
      </c>
      <c r="L22" s="63"/>
      <c r="M22" s="63"/>
      <c r="N22" s="63"/>
      <c r="O22" s="63"/>
      <c r="P22" s="63"/>
    </row>
    <row r="23" spans="1:16" x14ac:dyDescent="0.3">
      <c r="A23" s="11">
        <f t="shared" si="1"/>
        <v>0</v>
      </c>
      <c r="B23" s="57"/>
      <c r="C23" s="58"/>
      <c r="D23" s="67" t="s">
        <v>211</v>
      </c>
      <c r="E23" s="61">
        <v>0</v>
      </c>
      <c r="F23" s="61">
        <v>0</v>
      </c>
      <c r="G23" s="61">
        <v>0</v>
      </c>
      <c r="H23" s="61">
        <v>0</v>
      </c>
      <c r="I23" s="61">
        <v>900</v>
      </c>
      <c r="J23" s="62">
        <f t="shared" si="0"/>
        <v>900</v>
      </c>
      <c r="L23" s="63"/>
      <c r="M23" s="63"/>
      <c r="N23" s="63"/>
      <c r="O23" s="63"/>
      <c r="P23" s="63"/>
    </row>
    <row r="24" spans="1:16" x14ac:dyDescent="0.3">
      <c r="A24" s="11">
        <f t="shared" si="1"/>
        <v>0</v>
      </c>
      <c r="B24" s="57"/>
      <c r="C24" s="58"/>
      <c r="D24" s="67" t="s">
        <v>212</v>
      </c>
      <c r="E24" s="61">
        <v>0</v>
      </c>
      <c r="F24" s="61">
        <v>0</v>
      </c>
      <c r="G24" s="61">
        <v>0</v>
      </c>
      <c r="H24" s="61">
        <v>0</v>
      </c>
      <c r="I24" s="61">
        <v>500</v>
      </c>
      <c r="J24" s="62">
        <f t="shared" si="0"/>
        <v>500</v>
      </c>
      <c r="L24" s="63"/>
      <c r="M24" s="63"/>
      <c r="N24" s="63"/>
      <c r="O24" s="63"/>
      <c r="P24" s="63"/>
    </row>
    <row r="25" spans="1:16" x14ac:dyDescent="0.3">
      <c r="A25" s="11">
        <f t="shared" si="1"/>
        <v>45276</v>
      </c>
      <c r="B25" s="57">
        <v>120000</v>
      </c>
      <c r="C25" s="58">
        <v>45275</v>
      </c>
      <c r="D25" s="67" t="s">
        <v>213</v>
      </c>
      <c r="E25" s="61">
        <v>0</v>
      </c>
      <c r="F25" s="61">
        <v>132800</v>
      </c>
      <c r="G25" s="61">
        <v>8400</v>
      </c>
      <c r="H25" s="61">
        <v>1500</v>
      </c>
      <c r="I25" s="61">
        <v>90500</v>
      </c>
      <c r="J25" s="62">
        <f t="shared" si="0"/>
        <v>233200</v>
      </c>
      <c r="L25" s="63"/>
      <c r="M25" s="63"/>
      <c r="N25" s="63"/>
      <c r="O25" s="63"/>
      <c r="P25" s="63"/>
    </row>
    <row r="26" spans="1:16" x14ac:dyDescent="0.3">
      <c r="A26" s="11">
        <f t="shared" si="1"/>
        <v>45311</v>
      </c>
      <c r="B26" s="57">
        <v>80000</v>
      </c>
      <c r="C26" s="58">
        <v>45306</v>
      </c>
      <c r="D26" s="68" t="s">
        <v>213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6">
        <f t="shared" si="0"/>
        <v>0</v>
      </c>
      <c r="L26" s="63"/>
      <c r="M26" s="63"/>
      <c r="N26" s="63"/>
      <c r="O26" s="63"/>
      <c r="P26" s="63"/>
    </row>
    <row r="27" spans="1:16" x14ac:dyDescent="0.3">
      <c r="A27" s="11">
        <f t="shared" si="1"/>
        <v>0</v>
      </c>
      <c r="B27" s="57"/>
      <c r="C27" s="58"/>
      <c r="D27" s="67" t="s">
        <v>214</v>
      </c>
      <c r="E27" s="61">
        <v>0</v>
      </c>
      <c r="F27" s="61">
        <v>0</v>
      </c>
      <c r="G27" s="61">
        <v>0</v>
      </c>
      <c r="H27" s="61">
        <v>0</v>
      </c>
      <c r="I27" s="61">
        <v>23200</v>
      </c>
      <c r="J27" s="62">
        <f t="shared" si="0"/>
        <v>23200</v>
      </c>
      <c r="L27" s="63"/>
      <c r="M27" s="63"/>
      <c r="N27" s="63"/>
      <c r="O27" s="63"/>
      <c r="P27" s="63"/>
    </row>
    <row r="28" spans="1:16" x14ac:dyDescent="0.3">
      <c r="A28" s="11">
        <f t="shared" si="1"/>
        <v>0</v>
      </c>
      <c r="B28" s="57"/>
      <c r="C28" s="58"/>
      <c r="D28" s="60" t="s">
        <v>215</v>
      </c>
      <c r="E28" s="61">
        <v>0</v>
      </c>
      <c r="F28" s="61">
        <v>0</v>
      </c>
      <c r="G28" s="61">
        <v>0</v>
      </c>
      <c r="H28" s="61">
        <v>0</v>
      </c>
      <c r="I28" s="61">
        <v>14000</v>
      </c>
      <c r="J28" s="62">
        <f t="shared" si="0"/>
        <v>14000</v>
      </c>
      <c r="L28" s="63"/>
      <c r="M28" s="63"/>
      <c r="N28" s="63"/>
      <c r="O28" s="63"/>
      <c r="P28" s="63"/>
    </row>
    <row r="29" spans="1:16" x14ac:dyDescent="0.3">
      <c r="A29" s="11">
        <f t="shared" si="1"/>
        <v>0</v>
      </c>
      <c r="B29" s="57"/>
      <c r="C29" s="58"/>
      <c r="D29" s="60" t="s">
        <v>216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2">
        <f t="shared" si="0"/>
        <v>0</v>
      </c>
      <c r="L29" s="63"/>
      <c r="M29" s="63"/>
      <c r="N29" s="63"/>
      <c r="O29" s="63"/>
      <c r="P29" s="63"/>
    </row>
    <row r="30" spans="1:16" x14ac:dyDescent="0.3">
      <c r="A30" s="11">
        <f t="shared" si="1"/>
        <v>45325</v>
      </c>
      <c r="B30" s="57">
        <v>150000</v>
      </c>
      <c r="C30" s="58">
        <v>45321</v>
      </c>
      <c r="D30" s="60" t="s">
        <v>217</v>
      </c>
      <c r="E30" s="61">
        <v>0</v>
      </c>
      <c r="F30" s="61">
        <v>0</v>
      </c>
      <c r="G30" s="61">
        <v>0</v>
      </c>
      <c r="H30" s="61">
        <v>0</v>
      </c>
      <c r="I30" s="61">
        <v>150000</v>
      </c>
      <c r="J30" s="62">
        <f t="shared" si="0"/>
        <v>150000</v>
      </c>
      <c r="L30" s="63"/>
      <c r="M30" s="63"/>
      <c r="N30" s="63"/>
      <c r="O30" s="63"/>
      <c r="P30" s="63"/>
    </row>
    <row r="31" spans="1:16" x14ac:dyDescent="0.3">
      <c r="A31" s="11">
        <f t="shared" si="1"/>
        <v>45283</v>
      </c>
      <c r="B31" s="57">
        <v>30700</v>
      </c>
      <c r="C31" s="58">
        <v>45280</v>
      </c>
      <c r="D31" s="60" t="s">
        <v>218</v>
      </c>
      <c r="E31" s="61">
        <v>30700</v>
      </c>
      <c r="F31" s="61">
        <v>0</v>
      </c>
      <c r="G31" s="61">
        <v>0</v>
      </c>
      <c r="H31" s="61">
        <v>0</v>
      </c>
      <c r="I31" s="61">
        <v>0</v>
      </c>
      <c r="J31" s="62">
        <f t="shared" si="0"/>
        <v>30700</v>
      </c>
      <c r="L31" s="63"/>
      <c r="M31" s="63"/>
      <c r="N31" s="63"/>
      <c r="O31" s="63"/>
      <c r="P31" s="63"/>
    </row>
    <row r="32" spans="1:16" x14ac:dyDescent="0.3">
      <c r="A32" s="11">
        <f t="shared" si="1"/>
        <v>45269</v>
      </c>
      <c r="B32" s="57">
        <v>105000</v>
      </c>
      <c r="C32" s="58">
        <v>45264</v>
      </c>
      <c r="D32" s="60" t="s">
        <v>219</v>
      </c>
      <c r="E32" s="61">
        <v>0</v>
      </c>
      <c r="F32" s="61">
        <v>900</v>
      </c>
      <c r="G32" s="61">
        <v>1000</v>
      </c>
      <c r="H32" s="61">
        <v>2000</v>
      </c>
      <c r="I32" s="61">
        <v>2600</v>
      </c>
      <c r="J32" s="62">
        <f t="shared" si="0"/>
        <v>6500</v>
      </c>
      <c r="L32" s="63"/>
      <c r="M32" s="63"/>
      <c r="N32" s="63"/>
      <c r="O32" s="63"/>
      <c r="P32" s="63"/>
    </row>
    <row r="33" spans="1:16" x14ac:dyDescent="0.3">
      <c r="A33" s="11">
        <f t="shared" si="1"/>
        <v>45283</v>
      </c>
      <c r="B33" s="57">
        <v>38500</v>
      </c>
      <c r="C33" s="58">
        <v>45280</v>
      </c>
      <c r="D33" s="60" t="s">
        <v>220</v>
      </c>
      <c r="E33" s="61">
        <v>27000</v>
      </c>
      <c r="F33" s="61">
        <v>0</v>
      </c>
      <c r="G33" s="61">
        <v>11500</v>
      </c>
      <c r="H33" s="61">
        <v>0</v>
      </c>
      <c r="I33" s="61">
        <v>0</v>
      </c>
      <c r="J33" s="62">
        <f t="shared" si="0"/>
        <v>38500</v>
      </c>
      <c r="L33" s="63"/>
      <c r="M33" s="63"/>
      <c r="N33" s="63"/>
      <c r="O33" s="63"/>
      <c r="P33" s="63"/>
    </row>
    <row r="34" spans="1:16" x14ac:dyDescent="0.3">
      <c r="A34" s="11">
        <f t="shared" si="1"/>
        <v>0</v>
      </c>
      <c r="B34" s="57"/>
      <c r="C34" s="58"/>
      <c r="D34" s="60" t="s">
        <v>221</v>
      </c>
      <c r="E34" s="61">
        <v>0</v>
      </c>
      <c r="F34" s="61">
        <v>0</v>
      </c>
      <c r="G34" s="61">
        <v>0</v>
      </c>
      <c r="H34" s="61">
        <v>0</v>
      </c>
      <c r="I34" s="61">
        <v>29600</v>
      </c>
      <c r="J34" s="62">
        <f t="shared" si="0"/>
        <v>29600</v>
      </c>
      <c r="L34" s="63"/>
      <c r="M34" s="63"/>
      <c r="N34" s="63"/>
      <c r="O34" s="63"/>
      <c r="P34" s="63"/>
    </row>
    <row r="35" spans="1:16" x14ac:dyDescent="0.3">
      <c r="A35" s="11">
        <f t="shared" si="1"/>
        <v>0</v>
      </c>
      <c r="B35" s="57"/>
      <c r="C35" s="58"/>
      <c r="D35" s="60" t="s">
        <v>222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2">
        <f t="shared" si="0"/>
        <v>0</v>
      </c>
      <c r="L35" s="63"/>
      <c r="M35" s="63"/>
      <c r="N35" s="63"/>
      <c r="O35" s="63"/>
      <c r="P35" s="63"/>
    </row>
    <row r="36" spans="1:16" x14ac:dyDescent="0.3">
      <c r="A36" s="11">
        <f t="shared" si="1"/>
        <v>45311</v>
      </c>
      <c r="B36" s="57">
        <v>50000</v>
      </c>
      <c r="C36" s="58">
        <v>45311</v>
      </c>
      <c r="D36" s="68" t="s">
        <v>223</v>
      </c>
      <c r="E36" s="65">
        <v>0</v>
      </c>
      <c r="F36" s="65">
        <v>0</v>
      </c>
      <c r="G36" s="65">
        <v>0</v>
      </c>
      <c r="H36" s="65">
        <v>0</v>
      </c>
      <c r="I36" s="65">
        <v>0</v>
      </c>
      <c r="J36" s="66">
        <f t="shared" si="0"/>
        <v>0</v>
      </c>
      <c r="L36" s="63"/>
      <c r="M36" s="63"/>
      <c r="N36" s="63"/>
      <c r="O36" s="63"/>
      <c r="P36" s="63"/>
    </row>
    <row r="37" spans="1:16" x14ac:dyDescent="0.3">
      <c r="A37" s="11">
        <f t="shared" si="1"/>
        <v>45346</v>
      </c>
      <c r="B37" s="57">
        <v>150000</v>
      </c>
      <c r="C37" s="58">
        <v>45342</v>
      </c>
      <c r="D37" s="68" t="s">
        <v>223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6">
        <f t="shared" si="0"/>
        <v>0</v>
      </c>
      <c r="L37" s="63"/>
      <c r="M37" s="63"/>
      <c r="N37" s="63"/>
      <c r="O37" s="63"/>
      <c r="P37" s="63"/>
    </row>
    <row r="38" spans="1:16" x14ac:dyDescent="0.3">
      <c r="A38" s="11">
        <f t="shared" si="1"/>
        <v>45311</v>
      </c>
      <c r="B38" s="57">
        <v>66800</v>
      </c>
      <c r="C38" s="58">
        <v>45306</v>
      </c>
      <c r="D38" s="67" t="s">
        <v>224</v>
      </c>
      <c r="E38" s="61">
        <v>0</v>
      </c>
      <c r="F38" s="61">
        <v>6500</v>
      </c>
      <c r="G38" s="61">
        <v>0</v>
      </c>
      <c r="H38" s="61">
        <v>2400</v>
      </c>
      <c r="I38" s="61">
        <v>64000</v>
      </c>
      <c r="J38" s="62">
        <f t="shared" si="0"/>
        <v>72900</v>
      </c>
      <c r="L38" s="63"/>
      <c r="M38" s="63"/>
      <c r="N38" s="63"/>
      <c r="O38" s="63"/>
      <c r="P38" s="63"/>
    </row>
    <row r="39" spans="1:16" x14ac:dyDescent="0.3">
      <c r="A39" s="11">
        <f t="shared" si="1"/>
        <v>45346</v>
      </c>
      <c r="B39" s="57">
        <v>75000</v>
      </c>
      <c r="C39" s="58">
        <v>45342</v>
      </c>
      <c r="D39" s="64" t="s">
        <v>225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6">
        <f t="shared" si="0"/>
        <v>0</v>
      </c>
      <c r="L39" s="63"/>
      <c r="M39" s="63"/>
      <c r="N39" s="63"/>
      <c r="O39" s="63"/>
      <c r="P39" s="63"/>
    </row>
    <row r="40" spans="1:16" x14ac:dyDescent="0.3">
      <c r="A40" s="11">
        <f t="shared" si="1"/>
        <v>0</v>
      </c>
      <c r="B40" s="57"/>
      <c r="C40" s="58"/>
      <c r="D40" s="60" t="s">
        <v>226</v>
      </c>
      <c r="E40" s="61">
        <v>0</v>
      </c>
      <c r="F40" s="61">
        <v>0</v>
      </c>
      <c r="G40" s="61">
        <v>0</v>
      </c>
      <c r="H40" s="61">
        <v>6500</v>
      </c>
      <c r="I40" s="61">
        <v>16100</v>
      </c>
      <c r="J40" s="62">
        <f t="shared" si="0"/>
        <v>22600</v>
      </c>
      <c r="L40" s="63"/>
      <c r="M40" s="63"/>
      <c r="N40" s="63"/>
      <c r="O40" s="63"/>
      <c r="P40" s="63"/>
    </row>
    <row r="41" spans="1:16" x14ac:dyDescent="0.3">
      <c r="A41" s="11">
        <f t="shared" si="1"/>
        <v>0</v>
      </c>
      <c r="B41" s="57"/>
      <c r="C41" s="58"/>
      <c r="D41" s="60" t="s">
        <v>227</v>
      </c>
      <c r="E41" s="61">
        <v>0</v>
      </c>
      <c r="F41" s="61">
        <v>0</v>
      </c>
      <c r="G41" s="61">
        <v>400</v>
      </c>
      <c r="H41" s="61">
        <v>3600</v>
      </c>
      <c r="I41" s="61">
        <v>27600</v>
      </c>
      <c r="J41" s="62">
        <f t="shared" si="0"/>
        <v>31600</v>
      </c>
      <c r="L41" s="63"/>
      <c r="M41" s="63"/>
      <c r="N41" s="63"/>
      <c r="O41" s="63"/>
      <c r="P41" s="63"/>
    </row>
    <row r="42" spans="1:16" x14ac:dyDescent="0.3">
      <c r="A42" s="11">
        <f t="shared" si="1"/>
        <v>0</v>
      </c>
      <c r="B42" s="57"/>
      <c r="C42" s="58"/>
      <c r="D42" s="60" t="s">
        <v>228</v>
      </c>
      <c r="E42" s="61">
        <v>0</v>
      </c>
      <c r="F42" s="61">
        <v>0</v>
      </c>
      <c r="G42" s="61">
        <v>0</v>
      </c>
      <c r="H42" s="61">
        <v>0</v>
      </c>
      <c r="I42" s="61">
        <v>70900</v>
      </c>
      <c r="J42" s="62">
        <f t="shared" si="0"/>
        <v>70900</v>
      </c>
      <c r="L42" s="63"/>
      <c r="M42" s="63"/>
      <c r="N42" s="63"/>
      <c r="O42" s="63"/>
      <c r="P42" s="63"/>
    </row>
    <row r="43" spans="1:16" x14ac:dyDescent="0.3">
      <c r="A43" s="11">
        <f t="shared" si="1"/>
        <v>0</v>
      </c>
      <c r="B43" s="57"/>
      <c r="C43" s="58"/>
      <c r="D43" s="60" t="s">
        <v>229</v>
      </c>
      <c r="E43" s="61">
        <v>0</v>
      </c>
      <c r="F43" s="61">
        <v>700</v>
      </c>
      <c r="G43" s="61">
        <v>900</v>
      </c>
      <c r="H43" s="61">
        <v>2300</v>
      </c>
      <c r="I43" s="61">
        <v>6000</v>
      </c>
      <c r="J43" s="62">
        <f t="shared" si="0"/>
        <v>9900</v>
      </c>
      <c r="L43" s="63"/>
      <c r="M43" s="63"/>
      <c r="N43" s="63"/>
      <c r="O43" s="63"/>
      <c r="P43" s="63"/>
    </row>
    <row r="44" spans="1:16" x14ac:dyDescent="0.3">
      <c r="A44" s="11">
        <f t="shared" si="1"/>
        <v>0</v>
      </c>
      <c r="B44" s="57"/>
      <c r="C44" s="58"/>
      <c r="D44" s="67" t="s">
        <v>230</v>
      </c>
      <c r="E44" s="61">
        <v>0</v>
      </c>
      <c r="F44" s="61">
        <v>0</v>
      </c>
      <c r="G44" s="61">
        <v>0</v>
      </c>
      <c r="H44" s="61">
        <v>15200</v>
      </c>
      <c r="I44" s="61">
        <v>15200</v>
      </c>
      <c r="J44" s="62">
        <f t="shared" si="0"/>
        <v>30400</v>
      </c>
      <c r="L44" s="63"/>
      <c r="M44" s="63"/>
      <c r="N44" s="63"/>
      <c r="O44" s="63"/>
      <c r="P44" s="63"/>
    </row>
    <row r="45" spans="1:16" x14ac:dyDescent="0.3">
      <c r="A45" s="11">
        <f t="shared" si="1"/>
        <v>0</v>
      </c>
      <c r="B45" s="57"/>
      <c r="C45" s="58"/>
      <c r="D45" s="60" t="s">
        <v>231</v>
      </c>
      <c r="E45" s="61">
        <v>0</v>
      </c>
      <c r="F45" s="61">
        <v>0</v>
      </c>
      <c r="G45" s="61">
        <v>0</v>
      </c>
      <c r="H45" s="61">
        <v>0</v>
      </c>
      <c r="I45" s="61">
        <v>9600</v>
      </c>
      <c r="J45" s="62">
        <f t="shared" si="0"/>
        <v>9600</v>
      </c>
      <c r="L45" s="63"/>
      <c r="M45" s="63"/>
      <c r="N45" s="63"/>
      <c r="O45" s="63"/>
      <c r="P45" s="63"/>
    </row>
    <row r="46" spans="1:16" x14ac:dyDescent="0.3">
      <c r="A46" s="11">
        <f t="shared" si="1"/>
        <v>45283</v>
      </c>
      <c r="B46" s="57">
        <v>125100</v>
      </c>
      <c r="C46" s="58">
        <v>45280</v>
      </c>
      <c r="D46" s="67" t="s">
        <v>232</v>
      </c>
      <c r="E46" s="61">
        <v>0</v>
      </c>
      <c r="F46" s="61">
        <v>113200</v>
      </c>
      <c r="G46" s="61">
        <v>0</v>
      </c>
      <c r="H46" s="61">
        <v>2700</v>
      </c>
      <c r="I46" s="61">
        <v>9100</v>
      </c>
      <c r="J46" s="62">
        <f t="shared" si="0"/>
        <v>125000</v>
      </c>
      <c r="L46" s="63"/>
      <c r="M46" s="63"/>
      <c r="N46" s="63"/>
      <c r="O46" s="63"/>
      <c r="P46" s="63"/>
    </row>
  </sheetData>
  <autoFilter ref="A2:J2" xr:uid="{765436EF-D92D-4FF8-958D-154C69B5B61B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9CBF-4924-4F8E-AE3A-03B043603519}">
  <sheetPr>
    <tabColor rgb="FFFFFF99"/>
  </sheetPr>
  <dimension ref="A1:Q46"/>
  <sheetViews>
    <sheetView showGridLines="0" zoomScale="125" zoomScaleNormal="125" workbookViewId="0">
      <pane ySplit="2" topLeftCell="A3" activePane="bottomLeft" state="frozen"/>
      <selection activeCell="Q25" sqref="Q25"/>
      <selection pane="bottomLeft" activeCell="A3" sqref="A3"/>
    </sheetView>
  </sheetViews>
  <sheetFormatPr defaultRowHeight="13" x14ac:dyDescent="0.3"/>
  <cols>
    <col min="1" max="1" width="13.3984375" bestFit="1" customWidth="1"/>
    <col min="2" max="11" width="15.69921875" customWidth="1"/>
  </cols>
  <sheetData>
    <row r="1" spans="1:17" ht="15" thickBot="1" x14ac:dyDescent="0.5">
      <c r="B1" s="50" t="s">
        <v>144</v>
      </c>
      <c r="C1" s="51"/>
      <c r="D1" s="51"/>
      <c r="E1" s="52" t="s">
        <v>145</v>
      </c>
      <c r="F1" s="53"/>
      <c r="G1" s="53"/>
      <c r="H1" s="53"/>
      <c r="I1" s="53"/>
      <c r="J1" s="53"/>
      <c r="K1" s="54"/>
    </row>
    <row r="2" spans="1:17" x14ac:dyDescent="0.3">
      <c r="A2" s="49" t="s">
        <v>28</v>
      </c>
      <c r="B2" s="55" t="s">
        <v>146</v>
      </c>
      <c r="C2" s="55" t="s">
        <v>147</v>
      </c>
      <c r="D2" s="55" t="s">
        <v>148</v>
      </c>
      <c r="E2" s="56" t="s">
        <v>149</v>
      </c>
      <c r="F2" s="55" t="s">
        <v>150</v>
      </c>
      <c r="G2" s="55" t="s">
        <v>151</v>
      </c>
      <c r="H2" s="55" t="s">
        <v>152</v>
      </c>
      <c r="I2" s="55" t="s">
        <v>153</v>
      </c>
      <c r="J2" s="55" t="s">
        <v>154</v>
      </c>
      <c r="K2" s="55" t="s">
        <v>155</v>
      </c>
    </row>
    <row r="3" spans="1:17" x14ac:dyDescent="0.3">
      <c r="A3" s="11">
        <f>C3+7-WEEKDAY(C3+7-7)</f>
        <v>45325</v>
      </c>
      <c r="B3" s="57">
        <v>1300</v>
      </c>
      <c r="C3" s="58">
        <v>45323</v>
      </c>
      <c r="D3" s="59" t="s">
        <v>156</v>
      </c>
      <c r="E3" s="60" t="s">
        <v>157</v>
      </c>
      <c r="F3" s="61">
        <v>1300</v>
      </c>
      <c r="G3" s="61">
        <v>0</v>
      </c>
      <c r="H3" s="61">
        <v>0</v>
      </c>
      <c r="I3" s="61">
        <v>0</v>
      </c>
      <c r="J3" s="61">
        <v>0</v>
      </c>
      <c r="K3" s="62">
        <f t="shared" ref="K3:K46" si="0">SUM(F3:J3)</f>
        <v>1300</v>
      </c>
      <c r="M3" s="63"/>
      <c r="N3" s="63"/>
      <c r="O3" s="63"/>
      <c r="P3" s="63"/>
      <c r="Q3" s="63"/>
    </row>
    <row r="4" spans="1:17" x14ac:dyDescent="0.3">
      <c r="A4" s="11">
        <f t="shared" ref="A4:A46" si="1">C4+7-WEEKDAY(C4+7-7)</f>
        <v>45297</v>
      </c>
      <c r="B4" s="57">
        <v>5000</v>
      </c>
      <c r="C4" s="58">
        <v>45292</v>
      </c>
      <c r="D4" s="59" t="s">
        <v>156</v>
      </c>
      <c r="E4" s="64" t="s">
        <v>102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6">
        <f t="shared" si="0"/>
        <v>0</v>
      </c>
      <c r="M4" s="63"/>
      <c r="N4" s="63"/>
      <c r="O4" s="63"/>
      <c r="P4" s="63"/>
      <c r="Q4" s="63"/>
    </row>
    <row r="5" spans="1:17" x14ac:dyDescent="0.3">
      <c r="A5" s="11">
        <f t="shared" si="1"/>
        <v>45325</v>
      </c>
      <c r="B5" s="57">
        <v>5000</v>
      </c>
      <c r="C5" s="58">
        <v>45323</v>
      </c>
      <c r="D5" s="59" t="s">
        <v>156</v>
      </c>
      <c r="E5" s="64" t="s">
        <v>102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6">
        <f t="shared" si="0"/>
        <v>0</v>
      </c>
      <c r="M5" s="63"/>
      <c r="N5" s="63"/>
      <c r="O5" s="63"/>
      <c r="P5" s="63"/>
      <c r="Q5" s="63"/>
    </row>
    <row r="6" spans="1:17" x14ac:dyDescent="0.3">
      <c r="A6" s="11">
        <f t="shared" si="1"/>
        <v>45353</v>
      </c>
      <c r="B6" s="57">
        <v>5000</v>
      </c>
      <c r="C6" s="58">
        <v>45352</v>
      </c>
      <c r="D6" s="59" t="s">
        <v>156</v>
      </c>
      <c r="E6" s="64" t="s">
        <v>102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6">
        <f t="shared" si="0"/>
        <v>0</v>
      </c>
      <c r="M6" s="63"/>
      <c r="N6" s="63"/>
      <c r="O6" s="63"/>
      <c r="P6" s="63"/>
      <c r="Q6" s="63"/>
    </row>
    <row r="7" spans="1:17" x14ac:dyDescent="0.3">
      <c r="A7" s="11">
        <f t="shared" si="1"/>
        <v>45325</v>
      </c>
      <c r="B7" s="57">
        <v>1000</v>
      </c>
      <c r="C7" s="58">
        <v>45323</v>
      </c>
      <c r="D7" s="59" t="s">
        <v>156</v>
      </c>
      <c r="E7" s="67" t="s">
        <v>158</v>
      </c>
      <c r="F7" s="61">
        <v>0</v>
      </c>
      <c r="G7" s="61">
        <v>800</v>
      </c>
      <c r="H7" s="61">
        <v>100</v>
      </c>
      <c r="I7" s="61">
        <v>0</v>
      </c>
      <c r="J7" s="61">
        <v>0</v>
      </c>
      <c r="K7" s="62">
        <f t="shared" si="0"/>
        <v>900</v>
      </c>
      <c r="M7" s="63"/>
      <c r="N7" s="63"/>
      <c r="O7" s="63"/>
      <c r="P7" s="63"/>
      <c r="Q7" s="63"/>
    </row>
    <row r="8" spans="1:17" x14ac:dyDescent="0.3">
      <c r="A8" s="11">
        <f t="shared" si="1"/>
        <v>45283</v>
      </c>
      <c r="B8" s="57">
        <v>53200</v>
      </c>
      <c r="C8" s="58">
        <v>45280</v>
      </c>
      <c r="D8" s="59"/>
      <c r="E8" s="60" t="s">
        <v>159</v>
      </c>
      <c r="F8" s="61">
        <v>0</v>
      </c>
      <c r="G8" s="61">
        <v>16200</v>
      </c>
      <c r="H8" s="61">
        <v>37000</v>
      </c>
      <c r="I8" s="61">
        <v>0</v>
      </c>
      <c r="J8" s="61">
        <v>0</v>
      </c>
      <c r="K8" s="62">
        <f t="shared" si="0"/>
        <v>53200</v>
      </c>
      <c r="M8" s="63"/>
      <c r="N8" s="63"/>
      <c r="O8" s="63"/>
      <c r="P8" s="63"/>
      <c r="Q8" s="63"/>
    </row>
    <row r="9" spans="1:17" x14ac:dyDescent="0.3">
      <c r="A9" s="11">
        <f t="shared" si="1"/>
        <v>45325</v>
      </c>
      <c r="B9" s="57">
        <v>3100</v>
      </c>
      <c r="C9" s="58">
        <v>45323</v>
      </c>
      <c r="D9" s="59" t="s">
        <v>156</v>
      </c>
      <c r="E9" s="67" t="s">
        <v>160</v>
      </c>
      <c r="F9" s="61">
        <v>0</v>
      </c>
      <c r="G9" s="61">
        <v>3100</v>
      </c>
      <c r="H9" s="61">
        <v>0</v>
      </c>
      <c r="I9" s="61">
        <v>0</v>
      </c>
      <c r="J9" s="61">
        <v>0</v>
      </c>
      <c r="K9" s="62">
        <f t="shared" si="0"/>
        <v>3100</v>
      </c>
      <c r="M9" s="63"/>
      <c r="N9" s="63"/>
      <c r="O9" s="63"/>
      <c r="P9" s="63"/>
      <c r="Q9" s="63"/>
    </row>
    <row r="10" spans="1:17" x14ac:dyDescent="0.3">
      <c r="A10" s="11">
        <f t="shared" si="1"/>
        <v>45325</v>
      </c>
      <c r="B10" s="57">
        <v>11900</v>
      </c>
      <c r="C10" s="58">
        <v>45323</v>
      </c>
      <c r="D10" s="59" t="s">
        <v>156</v>
      </c>
      <c r="E10" s="67" t="s">
        <v>161</v>
      </c>
      <c r="F10" s="61">
        <v>0</v>
      </c>
      <c r="G10" s="61">
        <v>11900</v>
      </c>
      <c r="H10" s="61">
        <v>0</v>
      </c>
      <c r="I10" s="61">
        <v>0</v>
      </c>
      <c r="J10" s="61">
        <v>0</v>
      </c>
      <c r="K10" s="62">
        <f t="shared" si="0"/>
        <v>11900</v>
      </c>
      <c r="M10" s="63"/>
      <c r="N10" s="63"/>
      <c r="O10" s="63"/>
      <c r="P10" s="63"/>
      <c r="Q10" s="63"/>
    </row>
    <row r="11" spans="1:17" x14ac:dyDescent="0.3">
      <c r="A11" s="11">
        <f t="shared" si="1"/>
        <v>45325</v>
      </c>
      <c r="B11" s="57">
        <v>21500</v>
      </c>
      <c r="C11" s="58">
        <v>45323</v>
      </c>
      <c r="D11" s="59" t="s">
        <v>156</v>
      </c>
      <c r="E11" s="60" t="s">
        <v>162</v>
      </c>
      <c r="F11" s="61">
        <v>1200</v>
      </c>
      <c r="G11" s="61">
        <v>8200</v>
      </c>
      <c r="H11" s="61">
        <v>11600</v>
      </c>
      <c r="I11" s="61">
        <v>300</v>
      </c>
      <c r="J11" s="61">
        <v>200</v>
      </c>
      <c r="K11" s="62">
        <f t="shared" si="0"/>
        <v>21500</v>
      </c>
      <c r="M11" s="63"/>
      <c r="N11" s="63"/>
      <c r="O11" s="63"/>
      <c r="P11" s="63"/>
      <c r="Q11" s="63"/>
    </row>
    <row r="12" spans="1:17" x14ac:dyDescent="0.3">
      <c r="A12" s="11">
        <f t="shared" si="1"/>
        <v>45325</v>
      </c>
      <c r="B12" s="57">
        <v>1700</v>
      </c>
      <c r="C12" s="58">
        <v>45323</v>
      </c>
      <c r="D12" s="59" t="s">
        <v>156</v>
      </c>
      <c r="E12" s="60" t="s">
        <v>163</v>
      </c>
      <c r="F12" s="61">
        <v>1700</v>
      </c>
      <c r="G12" s="61">
        <v>0</v>
      </c>
      <c r="H12" s="61">
        <v>0</v>
      </c>
      <c r="I12" s="61">
        <v>0</v>
      </c>
      <c r="J12" s="61">
        <v>0</v>
      </c>
      <c r="K12" s="62">
        <f t="shared" si="0"/>
        <v>1700</v>
      </c>
      <c r="M12" s="63"/>
      <c r="N12" s="63"/>
      <c r="O12" s="63"/>
      <c r="P12" s="63"/>
      <c r="Q12" s="63"/>
    </row>
    <row r="13" spans="1:17" x14ac:dyDescent="0.3">
      <c r="A13" s="11">
        <f t="shared" si="1"/>
        <v>45325</v>
      </c>
      <c r="B13" s="57">
        <v>23100</v>
      </c>
      <c r="C13" s="58">
        <v>45323</v>
      </c>
      <c r="D13" s="59" t="s">
        <v>156</v>
      </c>
      <c r="E13" s="67" t="s">
        <v>164</v>
      </c>
      <c r="F13" s="61">
        <v>15300</v>
      </c>
      <c r="G13" s="61">
        <v>7000</v>
      </c>
      <c r="H13" s="61">
        <v>800</v>
      </c>
      <c r="I13" s="61">
        <v>0</v>
      </c>
      <c r="J13" s="61">
        <v>0</v>
      </c>
      <c r="K13" s="62">
        <f t="shared" si="0"/>
        <v>23100</v>
      </c>
      <c r="M13" s="63"/>
      <c r="N13" s="63"/>
      <c r="O13" s="63"/>
      <c r="P13" s="63"/>
      <c r="Q13" s="63"/>
    </row>
    <row r="14" spans="1:17" x14ac:dyDescent="0.3">
      <c r="A14" s="11">
        <f t="shared" si="1"/>
        <v>45283</v>
      </c>
      <c r="B14" s="57">
        <v>56200</v>
      </c>
      <c r="C14" s="58">
        <v>45280</v>
      </c>
      <c r="D14" s="59"/>
      <c r="E14" s="60" t="s">
        <v>165</v>
      </c>
      <c r="F14" s="61">
        <v>0</v>
      </c>
      <c r="G14" s="61">
        <v>56200</v>
      </c>
      <c r="H14" s="61">
        <v>0</v>
      </c>
      <c r="I14" s="61">
        <v>0</v>
      </c>
      <c r="J14" s="61">
        <v>0</v>
      </c>
      <c r="K14" s="62">
        <f t="shared" si="0"/>
        <v>56200</v>
      </c>
      <c r="M14" s="63"/>
      <c r="N14" s="63"/>
      <c r="O14" s="63"/>
      <c r="P14" s="63"/>
      <c r="Q14" s="63"/>
    </row>
    <row r="15" spans="1:17" x14ac:dyDescent="0.3">
      <c r="A15" s="11">
        <f t="shared" si="1"/>
        <v>45325</v>
      </c>
      <c r="B15" s="57">
        <v>2000</v>
      </c>
      <c r="C15" s="58">
        <v>45323</v>
      </c>
      <c r="D15" s="59" t="s">
        <v>156</v>
      </c>
      <c r="E15" s="67" t="s">
        <v>166</v>
      </c>
      <c r="F15" s="61">
        <v>0</v>
      </c>
      <c r="G15" s="61">
        <v>2000</v>
      </c>
      <c r="H15" s="61">
        <v>0</v>
      </c>
      <c r="I15" s="61">
        <v>0</v>
      </c>
      <c r="J15" s="61">
        <v>0</v>
      </c>
      <c r="K15" s="62">
        <f t="shared" si="0"/>
        <v>2000</v>
      </c>
      <c r="M15" s="63"/>
      <c r="N15" s="63"/>
      <c r="O15" s="63"/>
      <c r="P15" s="63"/>
      <c r="Q15" s="63"/>
    </row>
    <row r="16" spans="1:17" x14ac:dyDescent="0.3">
      <c r="A16" s="11">
        <f t="shared" si="1"/>
        <v>45325</v>
      </c>
      <c r="B16" s="57">
        <v>1300</v>
      </c>
      <c r="C16" s="58">
        <v>45323</v>
      </c>
      <c r="D16" s="59" t="s">
        <v>156</v>
      </c>
      <c r="E16" s="60" t="s">
        <v>167</v>
      </c>
      <c r="F16" s="61">
        <v>900</v>
      </c>
      <c r="G16" s="61">
        <v>400</v>
      </c>
      <c r="H16" s="61">
        <v>0</v>
      </c>
      <c r="I16" s="61">
        <v>0</v>
      </c>
      <c r="J16" s="61">
        <v>0</v>
      </c>
      <c r="K16" s="62">
        <f t="shared" si="0"/>
        <v>1300</v>
      </c>
      <c r="M16" s="63"/>
      <c r="N16" s="63"/>
      <c r="O16" s="63"/>
      <c r="P16" s="63"/>
      <c r="Q16" s="63"/>
    </row>
    <row r="17" spans="1:17" x14ac:dyDescent="0.3">
      <c r="A17" s="11">
        <f t="shared" si="1"/>
        <v>45283</v>
      </c>
      <c r="B17" s="57">
        <v>800</v>
      </c>
      <c r="C17" s="58">
        <v>45280</v>
      </c>
      <c r="D17" s="59"/>
      <c r="E17" s="60" t="s">
        <v>168</v>
      </c>
      <c r="F17" s="61">
        <v>0</v>
      </c>
      <c r="G17" s="61">
        <v>800</v>
      </c>
      <c r="H17" s="61">
        <v>0</v>
      </c>
      <c r="I17" s="61">
        <v>0</v>
      </c>
      <c r="J17" s="61">
        <v>0</v>
      </c>
      <c r="K17" s="62">
        <f t="shared" si="0"/>
        <v>800</v>
      </c>
      <c r="M17" s="63"/>
      <c r="N17" s="63"/>
      <c r="O17" s="63"/>
      <c r="P17" s="63"/>
      <c r="Q17" s="63"/>
    </row>
    <row r="18" spans="1:17" x14ac:dyDescent="0.3">
      <c r="A18" s="11">
        <f t="shared" si="1"/>
        <v>45325</v>
      </c>
      <c r="B18" s="57">
        <v>6500</v>
      </c>
      <c r="C18" s="58">
        <v>45323</v>
      </c>
      <c r="D18" s="59" t="s">
        <v>156</v>
      </c>
      <c r="E18" s="67" t="s">
        <v>169</v>
      </c>
      <c r="F18" s="61">
        <v>6500</v>
      </c>
      <c r="G18" s="61">
        <v>0</v>
      </c>
      <c r="H18" s="61">
        <v>0</v>
      </c>
      <c r="I18" s="61">
        <v>0</v>
      </c>
      <c r="J18" s="61">
        <v>0</v>
      </c>
      <c r="K18" s="62">
        <f t="shared" si="0"/>
        <v>6500</v>
      </c>
      <c r="M18" s="63"/>
      <c r="N18" s="63"/>
      <c r="O18" s="63"/>
      <c r="P18" s="63"/>
      <c r="Q18" s="63"/>
    </row>
    <row r="19" spans="1:17" x14ac:dyDescent="0.3">
      <c r="A19" s="11">
        <f t="shared" si="1"/>
        <v>45283</v>
      </c>
      <c r="B19" s="57">
        <v>30000</v>
      </c>
      <c r="C19" s="58">
        <v>45280</v>
      </c>
      <c r="D19" s="59"/>
      <c r="E19" s="67" t="s">
        <v>170</v>
      </c>
      <c r="F19" s="61">
        <v>1400</v>
      </c>
      <c r="G19" s="61">
        <v>33400</v>
      </c>
      <c r="H19" s="61">
        <v>49200</v>
      </c>
      <c r="I19" s="61">
        <v>17000</v>
      </c>
      <c r="J19" s="61">
        <v>13300</v>
      </c>
      <c r="K19" s="62">
        <f t="shared" si="0"/>
        <v>114300</v>
      </c>
      <c r="M19" s="63"/>
      <c r="N19" s="63"/>
      <c r="O19" s="63"/>
      <c r="P19" s="63"/>
      <c r="Q19" s="63"/>
    </row>
    <row r="20" spans="1:17" x14ac:dyDescent="0.3">
      <c r="A20" s="11">
        <f t="shared" si="1"/>
        <v>45311</v>
      </c>
      <c r="B20" s="57">
        <v>50000</v>
      </c>
      <c r="C20" s="58">
        <v>45306</v>
      </c>
      <c r="D20" s="59"/>
      <c r="E20" s="64" t="s">
        <v>170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6">
        <f t="shared" si="0"/>
        <v>0</v>
      </c>
      <c r="M20" s="63"/>
      <c r="N20" s="63"/>
      <c r="O20" s="63"/>
      <c r="P20" s="63"/>
      <c r="Q20" s="63"/>
    </row>
    <row r="21" spans="1:17" x14ac:dyDescent="0.3">
      <c r="A21" s="11">
        <f t="shared" si="1"/>
        <v>45339</v>
      </c>
      <c r="B21" s="78">
        <v>150000</v>
      </c>
      <c r="C21" s="79">
        <v>45337</v>
      </c>
      <c r="D21" s="80"/>
      <c r="E21" s="81" t="s">
        <v>170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83">
        <f t="shared" si="0"/>
        <v>0</v>
      </c>
      <c r="M21" s="63"/>
      <c r="N21" s="63"/>
      <c r="O21" s="63"/>
      <c r="P21" s="63"/>
      <c r="Q21" s="63"/>
    </row>
    <row r="22" spans="1:17" x14ac:dyDescent="0.3">
      <c r="A22" s="11">
        <f t="shared" si="1"/>
        <v>45325</v>
      </c>
      <c r="B22" s="57">
        <v>3200</v>
      </c>
      <c r="C22" s="58">
        <v>45323</v>
      </c>
      <c r="D22" s="59" t="s">
        <v>156</v>
      </c>
      <c r="E22" s="60" t="s">
        <v>171</v>
      </c>
      <c r="F22" s="61">
        <v>3200</v>
      </c>
      <c r="G22" s="61">
        <v>0</v>
      </c>
      <c r="H22" s="61">
        <v>0</v>
      </c>
      <c r="I22" s="61">
        <v>0</v>
      </c>
      <c r="J22" s="61">
        <v>0</v>
      </c>
      <c r="K22" s="62">
        <f t="shared" si="0"/>
        <v>3200</v>
      </c>
      <c r="M22" s="63"/>
      <c r="N22" s="63"/>
      <c r="O22" s="63"/>
      <c r="P22" s="63"/>
      <c r="Q22" s="63"/>
    </row>
    <row r="23" spans="1:17" x14ac:dyDescent="0.3">
      <c r="A23" s="11">
        <f t="shared" si="1"/>
        <v>45325</v>
      </c>
      <c r="B23" s="57">
        <v>122000</v>
      </c>
      <c r="C23" s="58">
        <v>45323</v>
      </c>
      <c r="D23" s="59" t="s">
        <v>156</v>
      </c>
      <c r="E23" s="60" t="s">
        <v>172</v>
      </c>
      <c r="F23" s="61">
        <v>102600</v>
      </c>
      <c r="G23" s="61">
        <v>115100</v>
      </c>
      <c r="H23" s="61">
        <v>96700</v>
      </c>
      <c r="I23" s="61">
        <v>83500</v>
      </c>
      <c r="J23" s="61">
        <v>39900</v>
      </c>
      <c r="K23" s="62">
        <f t="shared" si="0"/>
        <v>437800</v>
      </c>
      <c r="M23" s="63"/>
      <c r="N23" s="63"/>
      <c r="O23" s="63"/>
      <c r="P23" s="63"/>
      <c r="Q23" s="63"/>
    </row>
    <row r="24" spans="1:17" x14ac:dyDescent="0.3">
      <c r="A24" s="11">
        <f t="shared" si="1"/>
        <v>45353</v>
      </c>
      <c r="B24" s="57">
        <v>211000</v>
      </c>
      <c r="C24" s="58">
        <v>45352</v>
      </c>
      <c r="D24" s="59" t="s">
        <v>156</v>
      </c>
      <c r="E24" s="64" t="s">
        <v>172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6">
        <f t="shared" si="0"/>
        <v>0</v>
      </c>
      <c r="M24" s="63"/>
      <c r="N24" s="63"/>
      <c r="O24" s="63"/>
      <c r="P24" s="63"/>
      <c r="Q24" s="63"/>
    </row>
    <row r="25" spans="1:17" x14ac:dyDescent="0.3">
      <c r="A25" s="11">
        <f t="shared" si="1"/>
        <v>45332</v>
      </c>
      <c r="B25" s="57">
        <v>300</v>
      </c>
      <c r="C25" s="58">
        <v>45327</v>
      </c>
      <c r="D25" s="59"/>
      <c r="E25" s="60" t="s">
        <v>173</v>
      </c>
      <c r="F25" s="61">
        <v>0</v>
      </c>
      <c r="G25" s="61">
        <v>0</v>
      </c>
      <c r="H25" s="61">
        <v>300</v>
      </c>
      <c r="I25" s="61">
        <v>0</v>
      </c>
      <c r="J25" s="61">
        <v>0</v>
      </c>
      <c r="K25" s="62">
        <f t="shared" si="0"/>
        <v>300</v>
      </c>
      <c r="M25" s="63"/>
      <c r="N25" s="63"/>
      <c r="O25" s="63"/>
      <c r="P25" s="63"/>
      <c r="Q25" s="63"/>
    </row>
    <row r="26" spans="1:17" x14ac:dyDescent="0.3">
      <c r="A26" s="11">
        <f t="shared" si="1"/>
        <v>45332</v>
      </c>
      <c r="B26" s="57">
        <v>700</v>
      </c>
      <c r="C26" s="58">
        <v>45327</v>
      </c>
      <c r="D26" s="59"/>
      <c r="E26" s="67" t="s">
        <v>174</v>
      </c>
      <c r="F26" s="61">
        <v>700</v>
      </c>
      <c r="G26" s="61">
        <v>0</v>
      </c>
      <c r="H26" s="61">
        <v>0</v>
      </c>
      <c r="I26" s="61">
        <v>0</v>
      </c>
      <c r="J26" s="61">
        <v>0</v>
      </c>
      <c r="K26" s="62">
        <f t="shared" si="0"/>
        <v>700</v>
      </c>
      <c r="M26" s="63"/>
      <c r="N26" s="63"/>
      <c r="O26" s="63"/>
      <c r="P26" s="63"/>
      <c r="Q26" s="63"/>
    </row>
    <row r="27" spans="1:17" x14ac:dyDescent="0.3">
      <c r="A27" s="11">
        <f t="shared" si="1"/>
        <v>45332</v>
      </c>
      <c r="B27" s="57">
        <v>6000</v>
      </c>
      <c r="C27" s="58">
        <v>45327</v>
      </c>
      <c r="D27" s="59"/>
      <c r="E27" s="60" t="s">
        <v>175</v>
      </c>
      <c r="F27" s="61">
        <v>0</v>
      </c>
      <c r="G27" s="61">
        <v>6000</v>
      </c>
      <c r="H27" s="61">
        <v>0</v>
      </c>
      <c r="I27" s="61">
        <v>0</v>
      </c>
      <c r="J27" s="61">
        <v>0</v>
      </c>
      <c r="K27" s="62">
        <f t="shared" si="0"/>
        <v>6000</v>
      </c>
      <c r="M27" s="63"/>
      <c r="N27" s="63"/>
      <c r="O27" s="63"/>
      <c r="P27" s="63"/>
      <c r="Q27" s="63"/>
    </row>
    <row r="28" spans="1:17" x14ac:dyDescent="0.3">
      <c r="A28" s="11">
        <f t="shared" si="1"/>
        <v>45297</v>
      </c>
      <c r="B28" s="57">
        <v>148000</v>
      </c>
      <c r="C28" s="58">
        <v>45296</v>
      </c>
      <c r="D28" s="59" t="s">
        <v>156</v>
      </c>
      <c r="E28" s="60" t="s">
        <v>108</v>
      </c>
      <c r="F28" s="61">
        <v>0</v>
      </c>
      <c r="G28" s="61">
        <v>10000</v>
      </c>
      <c r="H28" s="61">
        <v>0</v>
      </c>
      <c r="I28" s="61">
        <v>0</v>
      </c>
      <c r="J28" s="61">
        <v>0</v>
      </c>
      <c r="K28" s="62">
        <f t="shared" si="0"/>
        <v>10000</v>
      </c>
    </row>
    <row r="29" spans="1:17" x14ac:dyDescent="0.3">
      <c r="A29" s="11">
        <f t="shared" si="1"/>
        <v>45332</v>
      </c>
      <c r="B29" s="57">
        <v>2500</v>
      </c>
      <c r="C29" s="58">
        <v>45327</v>
      </c>
      <c r="D29" s="59"/>
      <c r="E29" s="60" t="s">
        <v>176</v>
      </c>
      <c r="F29" s="61">
        <v>0</v>
      </c>
      <c r="G29" s="61">
        <v>1700</v>
      </c>
      <c r="H29" s="61">
        <v>800</v>
      </c>
      <c r="I29" s="61">
        <v>0</v>
      </c>
      <c r="J29" s="61">
        <v>0</v>
      </c>
      <c r="K29" s="62">
        <f t="shared" si="0"/>
        <v>2500</v>
      </c>
      <c r="M29" s="63"/>
      <c r="N29" s="63"/>
      <c r="O29" s="63"/>
      <c r="P29" s="63"/>
      <c r="Q29" s="63"/>
    </row>
    <row r="30" spans="1:17" x14ac:dyDescent="0.3">
      <c r="A30" s="11">
        <f t="shared" si="1"/>
        <v>45332</v>
      </c>
      <c r="B30" s="57">
        <v>11700</v>
      </c>
      <c r="C30" s="58">
        <v>45327</v>
      </c>
      <c r="D30" s="59"/>
      <c r="E30" s="67" t="s">
        <v>177</v>
      </c>
      <c r="F30" s="61">
        <v>0</v>
      </c>
      <c r="G30" s="61">
        <v>11300</v>
      </c>
      <c r="H30" s="61">
        <v>400</v>
      </c>
      <c r="I30" s="61">
        <v>0</v>
      </c>
      <c r="J30" s="61">
        <v>0</v>
      </c>
      <c r="K30" s="62">
        <f t="shared" si="0"/>
        <v>11700</v>
      </c>
      <c r="M30" s="63"/>
      <c r="N30" s="63"/>
      <c r="O30" s="63"/>
      <c r="P30" s="63"/>
      <c r="Q30" s="63"/>
    </row>
    <row r="31" spans="1:17" x14ac:dyDescent="0.3">
      <c r="A31" s="11">
        <f t="shared" si="1"/>
        <v>45283</v>
      </c>
      <c r="B31" s="57">
        <v>300</v>
      </c>
      <c r="C31" s="58">
        <v>45280</v>
      </c>
      <c r="D31" s="59"/>
      <c r="E31" s="67" t="s">
        <v>178</v>
      </c>
      <c r="F31" s="61">
        <v>100</v>
      </c>
      <c r="G31" s="61">
        <v>200</v>
      </c>
      <c r="H31" s="61">
        <v>0</v>
      </c>
      <c r="I31" s="61">
        <v>0</v>
      </c>
      <c r="J31" s="61">
        <v>0</v>
      </c>
      <c r="K31" s="62">
        <f t="shared" si="0"/>
        <v>300</v>
      </c>
      <c r="M31" s="63"/>
      <c r="N31" s="63"/>
      <c r="O31" s="63"/>
      <c r="P31" s="63"/>
      <c r="Q31" s="63"/>
    </row>
    <row r="32" spans="1:17" x14ac:dyDescent="0.3">
      <c r="A32" s="11">
        <f t="shared" si="1"/>
        <v>45332</v>
      </c>
      <c r="B32" s="57">
        <v>9200</v>
      </c>
      <c r="C32" s="58">
        <v>45327</v>
      </c>
      <c r="D32" s="59"/>
      <c r="E32" s="60" t="s">
        <v>179</v>
      </c>
      <c r="F32" s="61">
        <v>6600</v>
      </c>
      <c r="G32" s="61">
        <v>2600</v>
      </c>
      <c r="H32" s="61">
        <v>0</v>
      </c>
      <c r="I32" s="61">
        <v>0</v>
      </c>
      <c r="J32" s="61">
        <v>0</v>
      </c>
      <c r="K32" s="62">
        <f t="shared" si="0"/>
        <v>9200</v>
      </c>
      <c r="M32" s="63"/>
      <c r="N32" s="63"/>
      <c r="O32" s="63"/>
      <c r="P32" s="63"/>
      <c r="Q32" s="63"/>
    </row>
    <row r="33" spans="1:17" x14ac:dyDescent="0.3">
      <c r="A33" s="11">
        <f t="shared" si="1"/>
        <v>45332</v>
      </c>
      <c r="B33" s="57">
        <v>3500</v>
      </c>
      <c r="C33" s="58">
        <v>45327</v>
      </c>
      <c r="D33" s="59"/>
      <c r="E33" s="60" t="s">
        <v>180</v>
      </c>
      <c r="F33" s="61">
        <v>0</v>
      </c>
      <c r="G33" s="61">
        <v>3400</v>
      </c>
      <c r="H33" s="61">
        <v>200</v>
      </c>
      <c r="I33" s="61">
        <v>0</v>
      </c>
      <c r="J33" s="61">
        <v>0</v>
      </c>
      <c r="K33" s="62">
        <f t="shared" si="0"/>
        <v>3600</v>
      </c>
    </row>
    <row r="34" spans="1:17" x14ac:dyDescent="0.3">
      <c r="A34" s="11">
        <f t="shared" si="1"/>
        <v>45332</v>
      </c>
      <c r="B34" s="57">
        <v>7500</v>
      </c>
      <c r="C34" s="58">
        <v>45327</v>
      </c>
      <c r="D34" s="59"/>
      <c r="E34" s="67" t="s">
        <v>181</v>
      </c>
      <c r="F34" s="61">
        <v>0</v>
      </c>
      <c r="G34" s="61">
        <v>0</v>
      </c>
      <c r="H34" s="61">
        <v>7500</v>
      </c>
      <c r="I34" s="61">
        <v>0</v>
      </c>
      <c r="J34" s="61">
        <v>0</v>
      </c>
      <c r="K34" s="62">
        <f t="shared" si="0"/>
        <v>7500</v>
      </c>
    </row>
    <row r="35" spans="1:17" x14ac:dyDescent="0.3">
      <c r="A35" s="11">
        <f t="shared" si="1"/>
        <v>45283</v>
      </c>
      <c r="B35" s="57">
        <v>5800</v>
      </c>
      <c r="C35" s="58">
        <v>45280</v>
      </c>
      <c r="D35" s="59"/>
      <c r="E35" s="60" t="s">
        <v>182</v>
      </c>
      <c r="F35" s="61">
        <v>0</v>
      </c>
      <c r="G35" s="61">
        <v>5800</v>
      </c>
      <c r="H35" s="61">
        <v>0</v>
      </c>
      <c r="I35" s="61">
        <v>0</v>
      </c>
      <c r="J35" s="61">
        <v>0</v>
      </c>
      <c r="K35" s="62">
        <f t="shared" si="0"/>
        <v>5800</v>
      </c>
      <c r="M35" s="63"/>
      <c r="N35" s="63"/>
      <c r="O35" s="63"/>
      <c r="P35" s="63"/>
      <c r="Q35" s="63"/>
    </row>
    <row r="36" spans="1:17" x14ac:dyDescent="0.3">
      <c r="A36" s="11">
        <f t="shared" si="1"/>
        <v>45332</v>
      </c>
      <c r="B36" s="57">
        <v>32200</v>
      </c>
      <c r="C36" s="58">
        <v>45327</v>
      </c>
      <c r="D36" s="59"/>
      <c r="E36" s="67" t="s">
        <v>183</v>
      </c>
      <c r="F36" s="61">
        <v>22800</v>
      </c>
      <c r="G36" s="61">
        <v>9400</v>
      </c>
      <c r="H36" s="61">
        <v>0</v>
      </c>
      <c r="I36" s="61">
        <v>0</v>
      </c>
      <c r="J36" s="61">
        <v>0</v>
      </c>
      <c r="K36" s="62">
        <f t="shared" si="0"/>
        <v>32200</v>
      </c>
      <c r="M36" s="63"/>
      <c r="N36" s="63"/>
      <c r="O36" s="63"/>
      <c r="P36" s="63"/>
      <c r="Q36" s="63"/>
    </row>
    <row r="37" spans="1:17" x14ac:dyDescent="0.3">
      <c r="A37" s="11">
        <f t="shared" si="1"/>
        <v>45332</v>
      </c>
      <c r="B37" s="57">
        <v>6800</v>
      </c>
      <c r="C37" s="58">
        <v>45327</v>
      </c>
      <c r="D37" s="59"/>
      <c r="E37" s="67" t="s">
        <v>184</v>
      </c>
      <c r="F37" s="61">
        <v>0</v>
      </c>
      <c r="G37" s="61">
        <v>6800</v>
      </c>
      <c r="H37" s="61">
        <v>0</v>
      </c>
      <c r="I37" s="61">
        <v>0</v>
      </c>
      <c r="J37" s="61">
        <v>0</v>
      </c>
      <c r="K37" s="62">
        <f t="shared" si="0"/>
        <v>6800</v>
      </c>
      <c r="M37" s="63"/>
      <c r="N37" s="63"/>
      <c r="O37" s="63"/>
      <c r="P37" s="63"/>
      <c r="Q37" s="63"/>
    </row>
    <row r="38" spans="1:17" x14ac:dyDescent="0.3">
      <c r="A38" s="11">
        <f t="shared" si="1"/>
        <v>45332</v>
      </c>
      <c r="B38" s="57">
        <v>2500</v>
      </c>
      <c r="C38" s="58">
        <v>45327</v>
      </c>
      <c r="D38" s="59"/>
      <c r="E38" s="60" t="s">
        <v>185</v>
      </c>
      <c r="F38" s="61">
        <v>0</v>
      </c>
      <c r="G38" s="61">
        <v>2500</v>
      </c>
      <c r="H38" s="61">
        <v>0</v>
      </c>
      <c r="I38" s="61">
        <v>0</v>
      </c>
      <c r="J38" s="61">
        <v>0</v>
      </c>
      <c r="K38" s="62">
        <f t="shared" si="0"/>
        <v>2500</v>
      </c>
      <c r="M38" s="63"/>
      <c r="N38" s="63"/>
      <c r="O38" s="63"/>
      <c r="P38" s="63"/>
      <c r="Q38" s="63"/>
    </row>
    <row r="39" spans="1:17" x14ac:dyDescent="0.3">
      <c r="A39" s="11">
        <f t="shared" si="1"/>
        <v>45332</v>
      </c>
      <c r="B39" s="57">
        <v>15700</v>
      </c>
      <c r="C39" s="58">
        <v>45327</v>
      </c>
      <c r="D39" s="59"/>
      <c r="E39" s="60" t="s">
        <v>186</v>
      </c>
      <c r="F39" s="61">
        <v>0</v>
      </c>
      <c r="G39" s="61">
        <v>15700</v>
      </c>
      <c r="H39" s="61">
        <v>0</v>
      </c>
      <c r="I39" s="61">
        <v>0</v>
      </c>
      <c r="J39" s="61">
        <v>0</v>
      </c>
      <c r="K39" s="62">
        <f t="shared" si="0"/>
        <v>15700</v>
      </c>
      <c r="M39" s="63"/>
      <c r="N39" s="63"/>
      <c r="O39" s="63"/>
      <c r="P39" s="63"/>
      <c r="Q39" s="63"/>
    </row>
    <row r="40" spans="1:17" x14ac:dyDescent="0.3">
      <c r="A40" s="11">
        <f t="shared" si="1"/>
        <v>45332</v>
      </c>
      <c r="B40" s="57">
        <v>33000</v>
      </c>
      <c r="C40" s="58">
        <v>45327</v>
      </c>
      <c r="D40" s="59"/>
      <c r="E40" s="60" t="s">
        <v>187</v>
      </c>
      <c r="F40" s="61">
        <v>33000</v>
      </c>
      <c r="G40" s="61">
        <v>0</v>
      </c>
      <c r="H40" s="61">
        <v>100</v>
      </c>
      <c r="I40" s="61">
        <v>0</v>
      </c>
      <c r="J40" s="61">
        <v>0</v>
      </c>
      <c r="K40" s="62">
        <f t="shared" si="0"/>
        <v>33100</v>
      </c>
      <c r="M40" s="63"/>
      <c r="N40" s="63"/>
      <c r="O40" s="63"/>
      <c r="P40" s="63"/>
      <c r="Q40" s="63"/>
    </row>
    <row r="41" spans="1:17" x14ac:dyDescent="0.3">
      <c r="A41" s="11">
        <f t="shared" si="1"/>
        <v>45332</v>
      </c>
      <c r="B41" s="57">
        <v>200</v>
      </c>
      <c r="C41" s="58">
        <v>45327</v>
      </c>
      <c r="D41" s="59"/>
      <c r="E41" s="60" t="s">
        <v>188</v>
      </c>
      <c r="F41" s="61">
        <v>0</v>
      </c>
      <c r="G41" s="61">
        <v>200</v>
      </c>
      <c r="H41" s="61">
        <v>0</v>
      </c>
      <c r="I41" s="61">
        <v>0</v>
      </c>
      <c r="J41" s="61">
        <v>0</v>
      </c>
      <c r="K41" s="62">
        <f t="shared" si="0"/>
        <v>200</v>
      </c>
      <c r="M41" s="63"/>
      <c r="N41" s="63"/>
      <c r="O41" s="63"/>
      <c r="P41" s="63"/>
      <c r="Q41" s="63"/>
    </row>
    <row r="42" spans="1:17" x14ac:dyDescent="0.3">
      <c r="A42" s="11">
        <f t="shared" si="1"/>
        <v>45283</v>
      </c>
      <c r="B42" s="57">
        <v>16500</v>
      </c>
      <c r="C42" s="58">
        <v>45280</v>
      </c>
      <c r="D42" s="59"/>
      <c r="E42" s="60" t="s">
        <v>189</v>
      </c>
      <c r="F42" s="61">
        <v>0</v>
      </c>
      <c r="G42" s="61">
        <v>16500</v>
      </c>
      <c r="H42" s="61">
        <v>0</v>
      </c>
      <c r="I42" s="61">
        <v>0</v>
      </c>
      <c r="J42" s="61">
        <v>0</v>
      </c>
      <c r="K42" s="62">
        <f t="shared" si="0"/>
        <v>16500</v>
      </c>
      <c r="M42" s="63"/>
      <c r="N42" s="63"/>
      <c r="O42" s="63"/>
      <c r="P42" s="63"/>
      <c r="Q42" s="63"/>
    </row>
    <row r="43" spans="1:17" x14ac:dyDescent="0.3">
      <c r="A43" s="11">
        <f t="shared" si="1"/>
        <v>45346</v>
      </c>
      <c r="B43" s="57">
        <v>100000</v>
      </c>
      <c r="C43" s="58">
        <v>45342</v>
      </c>
      <c r="D43" s="59"/>
      <c r="E43" s="64" t="s">
        <v>190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6">
        <f t="shared" si="0"/>
        <v>0</v>
      </c>
    </row>
    <row r="44" spans="1:17" x14ac:dyDescent="0.3">
      <c r="A44" s="11">
        <f t="shared" si="1"/>
        <v>45283</v>
      </c>
      <c r="B44" s="57">
        <v>1800</v>
      </c>
      <c r="C44" s="58">
        <v>45280</v>
      </c>
      <c r="D44" s="59"/>
      <c r="E44" s="60" t="s">
        <v>191</v>
      </c>
      <c r="F44" s="61">
        <v>0</v>
      </c>
      <c r="G44" s="61">
        <v>0</v>
      </c>
      <c r="H44" s="61">
        <v>0</v>
      </c>
      <c r="I44" s="61">
        <v>0</v>
      </c>
      <c r="J44" s="61">
        <v>1800</v>
      </c>
      <c r="K44" s="62">
        <f t="shared" si="0"/>
        <v>1800</v>
      </c>
    </row>
    <row r="45" spans="1:17" x14ac:dyDescent="0.3">
      <c r="A45" s="11">
        <f t="shared" si="1"/>
        <v>45332</v>
      </c>
      <c r="B45" s="57">
        <v>800</v>
      </c>
      <c r="C45" s="58">
        <v>45327</v>
      </c>
      <c r="D45" s="59"/>
      <c r="E45" s="60" t="s">
        <v>192</v>
      </c>
      <c r="F45" s="61">
        <v>800</v>
      </c>
      <c r="G45" s="61">
        <v>0</v>
      </c>
      <c r="H45" s="61">
        <v>0</v>
      </c>
      <c r="I45" s="61">
        <v>0</v>
      </c>
      <c r="J45" s="61">
        <v>0</v>
      </c>
      <c r="K45" s="62">
        <f t="shared" si="0"/>
        <v>800</v>
      </c>
    </row>
    <row r="46" spans="1:17" x14ac:dyDescent="0.3">
      <c r="A46" s="11">
        <f t="shared" si="1"/>
        <v>45332</v>
      </c>
      <c r="B46" s="57">
        <v>0</v>
      </c>
      <c r="C46" s="58">
        <v>45327</v>
      </c>
      <c r="D46" s="59"/>
      <c r="E46" s="60" t="s">
        <v>193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2">
        <f t="shared" si="0"/>
        <v>0</v>
      </c>
    </row>
  </sheetData>
  <autoFilter ref="A2:K2" xr:uid="{78CF2B76-5D31-4FBF-8F88-1532924B5966}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2B76-5D31-4FBF-8F88-1532924B5966}">
  <sheetPr>
    <tabColor rgb="FFFFFF99"/>
  </sheetPr>
  <dimension ref="A1:Q46"/>
  <sheetViews>
    <sheetView showGridLines="0" zoomScale="125" zoomScaleNormal="125" workbookViewId="0">
      <pane ySplit="2" topLeftCell="A3" activePane="bottomLeft" state="frozen"/>
      <selection activeCell="Q25" sqref="Q25"/>
      <selection pane="bottomLeft" activeCell="A3" sqref="A3"/>
    </sheetView>
  </sheetViews>
  <sheetFormatPr defaultRowHeight="13" x14ac:dyDescent="0.3"/>
  <cols>
    <col min="1" max="1" width="13.3984375" bestFit="1" customWidth="1"/>
    <col min="2" max="11" width="15.69921875" customWidth="1"/>
  </cols>
  <sheetData>
    <row r="1" spans="1:17" ht="15" thickBot="1" x14ac:dyDescent="0.5">
      <c r="B1" s="50" t="s">
        <v>144</v>
      </c>
      <c r="C1" s="51"/>
      <c r="D1" s="51"/>
      <c r="E1" s="52" t="s">
        <v>145</v>
      </c>
      <c r="F1" s="53"/>
      <c r="G1" s="53"/>
      <c r="H1" s="53"/>
      <c r="I1" s="53"/>
      <c r="J1" s="53"/>
      <c r="K1" s="54"/>
    </row>
    <row r="2" spans="1:17" x14ac:dyDescent="0.3">
      <c r="A2" s="49" t="s">
        <v>28</v>
      </c>
      <c r="B2" s="55" t="s">
        <v>146</v>
      </c>
      <c r="C2" s="55" t="s">
        <v>147</v>
      </c>
      <c r="D2" s="55" t="s">
        <v>148</v>
      </c>
      <c r="E2" s="56" t="s">
        <v>149</v>
      </c>
      <c r="F2" s="55" t="s">
        <v>150</v>
      </c>
      <c r="G2" s="55" t="s">
        <v>151</v>
      </c>
      <c r="H2" s="55" t="s">
        <v>152</v>
      </c>
      <c r="I2" s="55" t="s">
        <v>153</v>
      </c>
      <c r="J2" s="55" t="s">
        <v>154</v>
      </c>
      <c r="K2" s="55" t="s">
        <v>155</v>
      </c>
    </row>
    <row r="3" spans="1:17" x14ac:dyDescent="0.3">
      <c r="A3" s="11">
        <f>C3+7-WEEKDAY(C3+7-7)</f>
        <v>45325</v>
      </c>
      <c r="B3" s="57">
        <v>1300</v>
      </c>
      <c r="C3" s="58">
        <v>45323</v>
      </c>
      <c r="D3" s="59" t="s">
        <v>156</v>
      </c>
      <c r="E3" s="60" t="s">
        <v>157</v>
      </c>
      <c r="F3" s="61">
        <v>1300</v>
      </c>
      <c r="G3" s="61">
        <v>0</v>
      </c>
      <c r="H3" s="61">
        <v>0</v>
      </c>
      <c r="I3" s="61">
        <v>0</v>
      </c>
      <c r="J3" s="61">
        <v>0</v>
      </c>
      <c r="K3" s="62">
        <f t="shared" ref="K3:K46" si="0">SUM(F3:J3)</f>
        <v>1300</v>
      </c>
      <c r="M3" s="63"/>
      <c r="N3" s="63"/>
      <c r="O3" s="63"/>
      <c r="P3" s="63"/>
      <c r="Q3" s="63"/>
    </row>
    <row r="4" spans="1:17" x14ac:dyDescent="0.3">
      <c r="A4" s="11">
        <f t="shared" ref="A4:A46" si="1">C4+7-WEEKDAY(C4+7-7)</f>
        <v>45297</v>
      </c>
      <c r="B4" s="57">
        <v>5000</v>
      </c>
      <c r="C4" s="58">
        <v>45292</v>
      </c>
      <c r="D4" s="59" t="s">
        <v>156</v>
      </c>
      <c r="E4" s="64" t="s">
        <v>102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6">
        <f t="shared" si="0"/>
        <v>0</v>
      </c>
      <c r="M4" s="63"/>
      <c r="N4" s="63"/>
      <c r="O4" s="63"/>
      <c r="P4" s="63"/>
      <c r="Q4" s="63"/>
    </row>
    <row r="5" spans="1:17" x14ac:dyDescent="0.3">
      <c r="A5" s="11">
        <f t="shared" si="1"/>
        <v>45325</v>
      </c>
      <c r="B5" s="57">
        <v>5000</v>
      </c>
      <c r="C5" s="58">
        <v>45323</v>
      </c>
      <c r="D5" s="59" t="s">
        <v>156</v>
      </c>
      <c r="E5" s="64" t="s">
        <v>102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6">
        <f t="shared" si="0"/>
        <v>0</v>
      </c>
      <c r="M5" s="63"/>
      <c r="N5" s="63"/>
      <c r="O5" s="63"/>
      <c r="P5" s="63"/>
      <c r="Q5" s="63"/>
    </row>
    <row r="6" spans="1:17" x14ac:dyDescent="0.3">
      <c r="A6" s="11">
        <f t="shared" si="1"/>
        <v>45353</v>
      </c>
      <c r="B6" s="57">
        <v>5000</v>
      </c>
      <c r="C6" s="58">
        <v>45352</v>
      </c>
      <c r="D6" s="59" t="s">
        <v>156</v>
      </c>
      <c r="E6" s="64" t="s">
        <v>102</v>
      </c>
      <c r="F6" s="65">
        <v>0</v>
      </c>
      <c r="G6" s="65">
        <v>0</v>
      </c>
      <c r="H6" s="65">
        <v>0</v>
      </c>
      <c r="I6" s="65">
        <v>0</v>
      </c>
      <c r="J6" s="65">
        <v>0</v>
      </c>
      <c r="K6" s="66">
        <f t="shared" si="0"/>
        <v>0</v>
      </c>
      <c r="M6" s="63"/>
      <c r="N6" s="63"/>
      <c r="O6" s="63"/>
      <c r="P6" s="63"/>
      <c r="Q6" s="63"/>
    </row>
    <row r="7" spans="1:17" x14ac:dyDescent="0.3">
      <c r="A7" s="11">
        <f t="shared" si="1"/>
        <v>45325</v>
      </c>
      <c r="B7" s="57">
        <v>900</v>
      </c>
      <c r="C7" s="58">
        <v>45323</v>
      </c>
      <c r="D7" s="59" t="s">
        <v>156</v>
      </c>
      <c r="E7" s="67" t="s">
        <v>158</v>
      </c>
      <c r="F7" s="61">
        <v>0</v>
      </c>
      <c r="G7" s="61">
        <v>900</v>
      </c>
      <c r="H7" s="61">
        <v>0</v>
      </c>
      <c r="I7" s="61">
        <v>0</v>
      </c>
      <c r="J7" s="61">
        <v>0</v>
      </c>
      <c r="K7" s="62">
        <f t="shared" si="0"/>
        <v>900</v>
      </c>
      <c r="M7" s="63"/>
      <c r="N7" s="63"/>
      <c r="O7" s="63"/>
      <c r="P7" s="63"/>
      <c r="Q7" s="63"/>
    </row>
    <row r="8" spans="1:17" x14ac:dyDescent="0.3">
      <c r="A8" s="11">
        <f t="shared" si="1"/>
        <v>45283</v>
      </c>
      <c r="B8" s="57">
        <v>37000</v>
      </c>
      <c r="C8" s="58">
        <v>45280</v>
      </c>
      <c r="D8" s="59"/>
      <c r="E8" s="60" t="s">
        <v>159</v>
      </c>
      <c r="F8" s="61">
        <v>0</v>
      </c>
      <c r="G8" s="61">
        <v>0</v>
      </c>
      <c r="H8" s="61">
        <v>37000</v>
      </c>
      <c r="I8" s="61">
        <v>0</v>
      </c>
      <c r="J8" s="61">
        <v>0</v>
      </c>
      <c r="K8" s="62">
        <f t="shared" si="0"/>
        <v>37000</v>
      </c>
      <c r="M8" s="63"/>
      <c r="N8" s="63"/>
      <c r="O8" s="63"/>
      <c r="P8" s="63"/>
      <c r="Q8" s="63"/>
    </row>
    <row r="9" spans="1:17" x14ac:dyDescent="0.3">
      <c r="A9" s="11">
        <f t="shared" si="1"/>
        <v>45325</v>
      </c>
      <c r="B9" s="57">
        <v>3100</v>
      </c>
      <c r="C9" s="58">
        <v>45323</v>
      </c>
      <c r="D9" s="59" t="s">
        <v>156</v>
      </c>
      <c r="E9" s="67" t="s">
        <v>160</v>
      </c>
      <c r="F9" s="61">
        <v>0</v>
      </c>
      <c r="G9" s="61">
        <v>3100</v>
      </c>
      <c r="H9" s="61">
        <v>0</v>
      </c>
      <c r="I9" s="61">
        <v>0</v>
      </c>
      <c r="J9" s="61">
        <v>0</v>
      </c>
      <c r="K9" s="62">
        <f t="shared" si="0"/>
        <v>3100</v>
      </c>
      <c r="M9" s="63"/>
      <c r="N9" s="63"/>
      <c r="O9" s="63"/>
      <c r="P9" s="63"/>
      <c r="Q9" s="63"/>
    </row>
    <row r="10" spans="1:17" x14ac:dyDescent="0.3">
      <c r="A10" s="11">
        <f t="shared" si="1"/>
        <v>45325</v>
      </c>
      <c r="B10" s="57">
        <v>11900</v>
      </c>
      <c r="C10" s="58">
        <v>45323</v>
      </c>
      <c r="D10" s="59" t="s">
        <v>156</v>
      </c>
      <c r="E10" s="67" t="s">
        <v>161</v>
      </c>
      <c r="F10" s="61">
        <v>0</v>
      </c>
      <c r="G10" s="61">
        <v>11900</v>
      </c>
      <c r="H10" s="61">
        <v>0</v>
      </c>
      <c r="I10" s="61">
        <v>0</v>
      </c>
      <c r="J10" s="61">
        <v>0</v>
      </c>
      <c r="K10" s="62">
        <f t="shared" si="0"/>
        <v>11900</v>
      </c>
      <c r="M10" s="63"/>
      <c r="N10" s="63"/>
      <c r="O10" s="63"/>
      <c r="P10" s="63"/>
      <c r="Q10" s="63"/>
    </row>
    <row r="11" spans="1:17" x14ac:dyDescent="0.3">
      <c r="A11" s="11">
        <f t="shared" si="1"/>
        <v>45325</v>
      </c>
      <c r="B11" s="57">
        <v>1500</v>
      </c>
      <c r="C11" s="58">
        <v>45323</v>
      </c>
      <c r="D11" s="59" t="s">
        <v>156</v>
      </c>
      <c r="E11" s="60" t="s">
        <v>162</v>
      </c>
      <c r="F11" s="61">
        <v>1200</v>
      </c>
      <c r="G11" s="61">
        <v>1200</v>
      </c>
      <c r="H11" s="61">
        <v>11600</v>
      </c>
      <c r="I11" s="61">
        <v>300</v>
      </c>
      <c r="J11" s="61">
        <v>200</v>
      </c>
      <c r="K11" s="62">
        <f t="shared" si="0"/>
        <v>14500</v>
      </c>
      <c r="M11" s="63"/>
      <c r="N11" s="63"/>
      <c r="O11" s="63"/>
      <c r="P11" s="63"/>
      <c r="Q11" s="63"/>
    </row>
    <row r="12" spans="1:17" x14ac:dyDescent="0.3">
      <c r="A12" s="11">
        <f t="shared" si="1"/>
        <v>45325</v>
      </c>
      <c r="B12" s="57">
        <v>1700</v>
      </c>
      <c r="C12" s="58">
        <v>45323</v>
      </c>
      <c r="D12" s="59" t="s">
        <v>156</v>
      </c>
      <c r="E12" s="60" t="s">
        <v>163</v>
      </c>
      <c r="F12" s="61">
        <v>1700</v>
      </c>
      <c r="G12" s="61">
        <v>0</v>
      </c>
      <c r="H12" s="61">
        <v>0</v>
      </c>
      <c r="I12" s="61">
        <v>0</v>
      </c>
      <c r="J12" s="61">
        <v>0</v>
      </c>
      <c r="K12" s="62">
        <f t="shared" si="0"/>
        <v>1700</v>
      </c>
      <c r="M12" s="63"/>
      <c r="N12" s="63"/>
      <c r="O12" s="63"/>
      <c r="P12" s="63"/>
      <c r="Q12" s="63"/>
    </row>
    <row r="13" spans="1:17" x14ac:dyDescent="0.3">
      <c r="A13" s="11">
        <f t="shared" si="1"/>
        <v>45325</v>
      </c>
      <c r="B13" s="57">
        <v>23100</v>
      </c>
      <c r="C13" s="58">
        <v>45323</v>
      </c>
      <c r="D13" s="59" t="s">
        <v>156</v>
      </c>
      <c r="E13" s="67" t="s">
        <v>164</v>
      </c>
      <c r="F13" s="61">
        <v>16900</v>
      </c>
      <c r="G13" s="61">
        <v>6200</v>
      </c>
      <c r="H13" s="61">
        <v>0</v>
      </c>
      <c r="I13" s="61">
        <v>0</v>
      </c>
      <c r="J13" s="61">
        <v>0</v>
      </c>
      <c r="K13" s="62">
        <f t="shared" si="0"/>
        <v>23100</v>
      </c>
      <c r="M13" s="63"/>
      <c r="N13" s="63"/>
      <c r="O13" s="63"/>
      <c r="P13" s="63"/>
      <c r="Q13" s="63"/>
    </row>
    <row r="14" spans="1:17" x14ac:dyDescent="0.3">
      <c r="A14" s="11">
        <f t="shared" si="1"/>
        <v>45283</v>
      </c>
      <c r="B14" s="57">
        <v>56200</v>
      </c>
      <c r="C14" s="58">
        <v>45280</v>
      </c>
      <c r="D14" s="59"/>
      <c r="E14" s="60" t="s">
        <v>165</v>
      </c>
      <c r="F14" s="61">
        <v>0</v>
      </c>
      <c r="G14" s="61">
        <v>56200</v>
      </c>
      <c r="H14" s="61">
        <v>0</v>
      </c>
      <c r="I14" s="61">
        <v>0</v>
      </c>
      <c r="J14" s="61">
        <v>0</v>
      </c>
      <c r="K14" s="62">
        <f t="shared" si="0"/>
        <v>56200</v>
      </c>
      <c r="M14" s="63"/>
      <c r="N14" s="63"/>
      <c r="O14" s="63"/>
      <c r="P14" s="63"/>
      <c r="Q14" s="63"/>
    </row>
    <row r="15" spans="1:17" x14ac:dyDescent="0.3">
      <c r="A15" s="11">
        <f t="shared" si="1"/>
        <v>45325</v>
      </c>
      <c r="B15" s="57">
        <v>2000</v>
      </c>
      <c r="C15" s="58">
        <v>45323</v>
      </c>
      <c r="D15" s="59" t="s">
        <v>156</v>
      </c>
      <c r="E15" s="67" t="s">
        <v>166</v>
      </c>
      <c r="F15" s="61">
        <v>0</v>
      </c>
      <c r="G15" s="61">
        <v>2000</v>
      </c>
      <c r="H15" s="61">
        <v>0</v>
      </c>
      <c r="I15" s="61">
        <v>0</v>
      </c>
      <c r="J15" s="61">
        <v>0</v>
      </c>
      <c r="K15" s="62">
        <f t="shared" si="0"/>
        <v>2000</v>
      </c>
      <c r="M15" s="63"/>
      <c r="N15" s="63"/>
      <c r="O15" s="63"/>
      <c r="P15" s="63"/>
      <c r="Q15" s="63"/>
    </row>
    <row r="16" spans="1:17" x14ac:dyDescent="0.3">
      <c r="A16" s="11">
        <f t="shared" si="1"/>
        <v>45325</v>
      </c>
      <c r="B16" s="57">
        <v>500</v>
      </c>
      <c r="C16" s="58">
        <v>45323</v>
      </c>
      <c r="D16" s="59" t="s">
        <v>156</v>
      </c>
      <c r="E16" s="60" t="s">
        <v>167</v>
      </c>
      <c r="F16" s="61">
        <v>500</v>
      </c>
      <c r="G16" s="61">
        <v>0</v>
      </c>
      <c r="H16" s="61">
        <v>0</v>
      </c>
      <c r="I16" s="61">
        <v>0</v>
      </c>
      <c r="J16" s="61">
        <v>0</v>
      </c>
      <c r="K16" s="62">
        <f t="shared" si="0"/>
        <v>500</v>
      </c>
      <c r="M16" s="63"/>
      <c r="N16" s="63"/>
      <c r="O16" s="63"/>
      <c r="P16" s="63"/>
      <c r="Q16" s="63"/>
    </row>
    <row r="17" spans="1:17" x14ac:dyDescent="0.3">
      <c r="A17" s="11">
        <f t="shared" si="1"/>
        <v>45269</v>
      </c>
      <c r="B17" s="57">
        <v>800</v>
      </c>
      <c r="C17" s="58">
        <v>45266</v>
      </c>
      <c r="D17" s="59"/>
      <c r="E17" s="60" t="s">
        <v>168</v>
      </c>
      <c r="F17" s="61">
        <v>0</v>
      </c>
      <c r="G17" s="61">
        <v>800</v>
      </c>
      <c r="H17" s="61">
        <v>0</v>
      </c>
      <c r="I17" s="61">
        <v>0</v>
      </c>
      <c r="J17" s="61">
        <v>0</v>
      </c>
      <c r="K17" s="62">
        <f t="shared" si="0"/>
        <v>800</v>
      </c>
      <c r="M17" s="63"/>
      <c r="N17" s="63"/>
      <c r="O17" s="63"/>
      <c r="P17" s="63"/>
      <c r="Q17" s="63"/>
    </row>
    <row r="18" spans="1:17" x14ac:dyDescent="0.3">
      <c r="A18" s="11">
        <f t="shared" si="1"/>
        <v>45325</v>
      </c>
      <c r="B18" s="57">
        <v>6500</v>
      </c>
      <c r="C18" s="58">
        <v>45323</v>
      </c>
      <c r="D18" s="59" t="s">
        <v>156</v>
      </c>
      <c r="E18" s="67" t="s">
        <v>169</v>
      </c>
      <c r="F18" s="61">
        <v>6500</v>
      </c>
      <c r="G18" s="61">
        <v>0</v>
      </c>
      <c r="H18" s="61">
        <v>0</v>
      </c>
      <c r="I18" s="61">
        <v>0</v>
      </c>
      <c r="J18" s="61">
        <v>0</v>
      </c>
      <c r="K18" s="62">
        <f t="shared" si="0"/>
        <v>6500</v>
      </c>
      <c r="M18" s="63"/>
      <c r="N18" s="63"/>
      <c r="O18" s="63"/>
      <c r="P18" s="63"/>
      <c r="Q18" s="63"/>
    </row>
    <row r="19" spans="1:17" x14ac:dyDescent="0.3">
      <c r="A19" s="11">
        <f t="shared" si="1"/>
        <v>45283</v>
      </c>
      <c r="B19" s="57">
        <v>30000</v>
      </c>
      <c r="C19" s="58">
        <v>45280</v>
      </c>
      <c r="D19" s="59"/>
      <c r="E19" s="67" t="s">
        <v>170</v>
      </c>
      <c r="F19" s="61">
        <v>0</v>
      </c>
      <c r="G19" s="61">
        <v>61400</v>
      </c>
      <c r="H19" s="61">
        <v>40400</v>
      </c>
      <c r="I19" s="61">
        <v>17000</v>
      </c>
      <c r="J19" s="61">
        <v>13300</v>
      </c>
      <c r="K19" s="62">
        <f t="shared" si="0"/>
        <v>132100</v>
      </c>
      <c r="M19" s="63"/>
      <c r="N19" s="63"/>
      <c r="O19" s="63"/>
      <c r="P19" s="63"/>
      <c r="Q19" s="63"/>
    </row>
    <row r="20" spans="1:17" x14ac:dyDescent="0.3">
      <c r="A20" s="11">
        <f t="shared" si="1"/>
        <v>45297</v>
      </c>
      <c r="B20" s="57">
        <v>50000</v>
      </c>
      <c r="C20" s="58">
        <v>45296</v>
      </c>
      <c r="D20" s="59" t="s">
        <v>156</v>
      </c>
      <c r="E20" s="64" t="s">
        <v>170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6">
        <f t="shared" si="0"/>
        <v>0</v>
      </c>
      <c r="M20" s="63"/>
      <c r="N20" s="63"/>
      <c r="O20" s="63"/>
      <c r="P20" s="63"/>
      <c r="Q20" s="63"/>
    </row>
    <row r="21" spans="1:17" x14ac:dyDescent="0.3">
      <c r="A21" s="11">
        <f t="shared" si="1"/>
        <v>45339</v>
      </c>
      <c r="B21" s="57">
        <v>50000</v>
      </c>
      <c r="C21" s="58">
        <v>45337</v>
      </c>
      <c r="D21" s="59"/>
      <c r="E21" s="64" t="s">
        <v>170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6">
        <f t="shared" si="0"/>
        <v>0</v>
      </c>
      <c r="M21" s="63"/>
      <c r="N21" s="63"/>
      <c r="O21" s="63"/>
      <c r="P21" s="63"/>
      <c r="Q21" s="63"/>
    </row>
    <row r="22" spans="1:17" x14ac:dyDescent="0.3">
      <c r="A22" s="11">
        <f t="shared" si="1"/>
        <v>45325</v>
      </c>
      <c r="B22" s="57">
        <v>2000</v>
      </c>
      <c r="C22" s="58">
        <v>45323</v>
      </c>
      <c r="D22" s="59" t="s">
        <v>156</v>
      </c>
      <c r="E22" s="60" t="s">
        <v>171</v>
      </c>
      <c r="F22" s="61">
        <v>2000</v>
      </c>
      <c r="G22" s="61">
        <v>0</v>
      </c>
      <c r="H22" s="61">
        <v>0</v>
      </c>
      <c r="I22" s="61">
        <v>0</v>
      </c>
      <c r="J22" s="61">
        <v>0</v>
      </c>
      <c r="K22" s="62">
        <f t="shared" si="0"/>
        <v>2000</v>
      </c>
      <c r="M22" s="63"/>
      <c r="N22" s="63"/>
      <c r="O22" s="63"/>
      <c r="P22" s="63"/>
      <c r="Q22" s="63"/>
    </row>
    <row r="23" spans="1:17" x14ac:dyDescent="0.3">
      <c r="A23" s="11">
        <f t="shared" si="1"/>
        <v>45325</v>
      </c>
      <c r="B23" s="57">
        <v>120000</v>
      </c>
      <c r="C23" s="58">
        <v>45323</v>
      </c>
      <c r="D23" s="59" t="s">
        <v>156</v>
      </c>
      <c r="E23" s="60" t="s">
        <v>172</v>
      </c>
      <c r="F23" s="61">
        <v>75200</v>
      </c>
      <c r="G23" s="61">
        <v>156500</v>
      </c>
      <c r="H23" s="61">
        <v>74200</v>
      </c>
      <c r="I23" s="61">
        <v>95500</v>
      </c>
      <c r="J23" s="61">
        <v>15500</v>
      </c>
      <c r="K23" s="62">
        <f t="shared" si="0"/>
        <v>416900</v>
      </c>
      <c r="M23" s="63"/>
      <c r="N23" s="63"/>
      <c r="O23" s="63"/>
      <c r="P23" s="63"/>
      <c r="Q23" s="63"/>
    </row>
    <row r="24" spans="1:17" x14ac:dyDescent="0.3">
      <c r="A24" s="11">
        <f t="shared" si="1"/>
        <v>45353</v>
      </c>
      <c r="B24" s="57">
        <v>205000</v>
      </c>
      <c r="C24" s="58">
        <v>45352</v>
      </c>
      <c r="D24" s="59" t="s">
        <v>156</v>
      </c>
      <c r="E24" s="64" t="s">
        <v>172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6">
        <f t="shared" si="0"/>
        <v>0</v>
      </c>
      <c r="M24" s="63"/>
      <c r="N24" s="63"/>
      <c r="O24" s="63"/>
      <c r="P24" s="63"/>
      <c r="Q24" s="63"/>
    </row>
    <row r="25" spans="1:17" x14ac:dyDescent="0.3">
      <c r="A25" s="11">
        <f t="shared" si="1"/>
        <v>45332</v>
      </c>
      <c r="B25" s="57">
        <v>300</v>
      </c>
      <c r="C25" s="58">
        <v>45327</v>
      </c>
      <c r="D25" s="59"/>
      <c r="E25" s="60" t="s">
        <v>173</v>
      </c>
      <c r="F25" s="61">
        <v>0</v>
      </c>
      <c r="G25" s="61">
        <v>300</v>
      </c>
      <c r="H25" s="61">
        <v>0</v>
      </c>
      <c r="I25" s="61">
        <v>0</v>
      </c>
      <c r="J25" s="61">
        <v>0</v>
      </c>
      <c r="K25" s="62">
        <f t="shared" si="0"/>
        <v>300</v>
      </c>
      <c r="M25" s="63"/>
      <c r="N25" s="63"/>
      <c r="O25" s="63"/>
      <c r="P25" s="63"/>
      <c r="Q25" s="63"/>
    </row>
    <row r="26" spans="1:17" x14ac:dyDescent="0.3">
      <c r="A26" s="11">
        <f t="shared" si="1"/>
        <v>45332</v>
      </c>
      <c r="B26" s="57">
        <v>700</v>
      </c>
      <c r="C26" s="58">
        <v>45327</v>
      </c>
      <c r="D26" s="59"/>
      <c r="E26" s="67" t="s">
        <v>174</v>
      </c>
      <c r="F26" s="61">
        <v>700</v>
      </c>
      <c r="G26" s="61">
        <v>0</v>
      </c>
      <c r="H26" s="61">
        <v>0</v>
      </c>
      <c r="I26" s="61">
        <v>0</v>
      </c>
      <c r="J26" s="61">
        <v>0</v>
      </c>
      <c r="K26" s="62">
        <f t="shared" si="0"/>
        <v>700</v>
      </c>
      <c r="M26" s="63"/>
      <c r="N26" s="63"/>
      <c r="O26" s="63"/>
      <c r="P26" s="63"/>
      <c r="Q26" s="63"/>
    </row>
    <row r="27" spans="1:17" x14ac:dyDescent="0.3">
      <c r="A27" s="11">
        <f t="shared" si="1"/>
        <v>45332</v>
      </c>
      <c r="B27" s="57">
        <v>6000</v>
      </c>
      <c r="C27" s="58">
        <v>45327</v>
      </c>
      <c r="D27" s="59"/>
      <c r="E27" s="60" t="s">
        <v>175</v>
      </c>
      <c r="F27" s="61">
        <v>0</v>
      </c>
      <c r="G27" s="61">
        <v>6000</v>
      </c>
      <c r="H27" s="61">
        <v>0</v>
      </c>
      <c r="I27" s="61">
        <v>0</v>
      </c>
      <c r="J27" s="61">
        <v>0</v>
      </c>
      <c r="K27" s="62">
        <f t="shared" si="0"/>
        <v>6000</v>
      </c>
      <c r="M27" s="63"/>
      <c r="N27" s="63"/>
      <c r="O27" s="63"/>
      <c r="P27" s="63"/>
      <c r="Q27" s="63"/>
    </row>
    <row r="28" spans="1:17" x14ac:dyDescent="0.3">
      <c r="A28" s="11">
        <f t="shared" si="1"/>
        <v>45269</v>
      </c>
      <c r="B28" s="57">
        <v>350000</v>
      </c>
      <c r="C28" s="58">
        <v>45265</v>
      </c>
      <c r="D28" s="59" t="s">
        <v>156</v>
      </c>
      <c r="E28" s="60" t="s">
        <v>108</v>
      </c>
      <c r="F28" s="61">
        <v>0</v>
      </c>
      <c r="G28" s="61">
        <v>355300</v>
      </c>
      <c r="H28" s="61">
        <v>0</v>
      </c>
      <c r="I28" s="61">
        <v>0</v>
      </c>
      <c r="J28" s="61">
        <v>0</v>
      </c>
      <c r="K28" s="62">
        <f t="shared" si="0"/>
        <v>355300</v>
      </c>
    </row>
    <row r="29" spans="1:17" x14ac:dyDescent="0.3">
      <c r="A29" s="11">
        <f t="shared" si="1"/>
        <v>45332</v>
      </c>
      <c r="B29" s="57">
        <v>2500</v>
      </c>
      <c r="C29" s="58">
        <v>45327</v>
      </c>
      <c r="D29" s="59"/>
      <c r="E29" s="60" t="s">
        <v>176</v>
      </c>
      <c r="F29" s="61">
        <v>0</v>
      </c>
      <c r="G29" s="61">
        <v>1700</v>
      </c>
      <c r="H29" s="61">
        <v>800</v>
      </c>
      <c r="I29" s="61">
        <v>0</v>
      </c>
      <c r="J29" s="61">
        <v>0</v>
      </c>
      <c r="K29" s="62">
        <f t="shared" si="0"/>
        <v>2500</v>
      </c>
      <c r="M29" s="63"/>
      <c r="N29" s="63"/>
      <c r="O29" s="63"/>
      <c r="P29" s="63"/>
      <c r="Q29" s="63"/>
    </row>
    <row r="30" spans="1:17" x14ac:dyDescent="0.3">
      <c r="A30" s="11">
        <f t="shared" si="1"/>
        <v>45332</v>
      </c>
      <c r="B30" s="57">
        <v>11700</v>
      </c>
      <c r="C30" s="58">
        <v>45327</v>
      </c>
      <c r="D30" s="59"/>
      <c r="E30" s="67" t="s">
        <v>177</v>
      </c>
      <c r="F30" s="61">
        <v>0</v>
      </c>
      <c r="G30" s="61">
        <v>11300</v>
      </c>
      <c r="H30" s="61">
        <v>400</v>
      </c>
      <c r="I30" s="61">
        <v>0</v>
      </c>
      <c r="J30" s="61">
        <v>0</v>
      </c>
      <c r="K30" s="62">
        <f t="shared" si="0"/>
        <v>11700</v>
      </c>
      <c r="M30" s="63"/>
      <c r="N30" s="63"/>
      <c r="O30" s="63"/>
      <c r="P30" s="63"/>
      <c r="Q30" s="63"/>
    </row>
    <row r="31" spans="1:17" x14ac:dyDescent="0.3">
      <c r="A31" s="11">
        <f t="shared" si="1"/>
        <v>45283</v>
      </c>
      <c r="B31" s="57">
        <v>300</v>
      </c>
      <c r="C31" s="58">
        <v>45280</v>
      </c>
      <c r="D31" s="59"/>
      <c r="E31" s="67" t="s">
        <v>178</v>
      </c>
      <c r="F31" s="61">
        <v>100</v>
      </c>
      <c r="G31" s="61">
        <v>200</v>
      </c>
      <c r="H31" s="61">
        <v>0</v>
      </c>
      <c r="I31" s="61">
        <v>0</v>
      </c>
      <c r="J31" s="61">
        <v>0</v>
      </c>
      <c r="K31" s="62">
        <f t="shared" si="0"/>
        <v>300</v>
      </c>
      <c r="M31" s="63"/>
      <c r="N31" s="63"/>
      <c r="O31" s="63"/>
      <c r="P31" s="63"/>
      <c r="Q31" s="63"/>
    </row>
    <row r="32" spans="1:17" x14ac:dyDescent="0.3">
      <c r="A32" s="11">
        <f t="shared" si="1"/>
        <v>45332</v>
      </c>
      <c r="B32" s="57">
        <v>6600</v>
      </c>
      <c r="C32" s="58">
        <v>45327</v>
      </c>
      <c r="D32" s="59"/>
      <c r="E32" s="60" t="s">
        <v>179</v>
      </c>
      <c r="F32" s="61">
        <v>6600</v>
      </c>
      <c r="G32" s="61">
        <v>0</v>
      </c>
      <c r="H32" s="61">
        <v>0</v>
      </c>
      <c r="I32" s="61">
        <v>0</v>
      </c>
      <c r="J32" s="61">
        <v>0</v>
      </c>
      <c r="K32" s="62">
        <f t="shared" si="0"/>
        <v>6600</v>
      </c>
      <c r="M32" s="63"/>
      <c r="N32" s="63"/>
      <c r="O32" s="63"/>
      <c r="P32" s="63"/>
      <c r="Q32" s="63"/>
    </row>
    <row r="33" spans="1:17" x14ac:dyDescent="0.3">
      <c r="A33" s="11">
        <f t="shared" si="1"/>
        <v>45332</v>
      </c>
      <c r="B33" s="57">
        <v>3600</v>
      </c>
      <c r="C33" s="58">
        <v>45327</v>
      </c>
      <c r="D33" s="59"/>
      <c r="E33" s="60" t="s">
        <v>180</v>
      </c>
      <c r="F33" s="61">
        <v>0</v>
      </c>
      <c r="G33" s="61">
        <v>3400</v>
      </c>
      <c r="H33" s="61">
        <v>200</v>
      </c>
      <c r="I33" s="61">
        <v>0</v>
      </c>
      <c r="J33" s="61">
        <v>0</v>
      </c>
      <c r="K33" s="62">
        <f t="shared" si="0"/>
        <v>3600</v>
      </c>
    </row>
    <row r="34" spans="1:17" x14ac:dyDescent="0.3">
      <c r="A34" s="11">
        <f t="shared" si="1"/>
        <v>45332</v>
      </c>
      <c r="B34" s="57">
        <v>7500</v>
      </c>
      <c r="C34" s="58">
        <v>45327</v>
      </c>
      <c r="D34" s="59"/>
      <c r="E34" s="67" t="s">
        <v>181</v>
      </c>
      <c r="F34" s="61">
        <v>0</v>
      </c>
      <c r="G34" s="61">
        <v>7500</v>
      </c>
      <c r="H34" s="61">
        <v>0</v>
      </c>
      <c r="I34" s="61">
        <v>0</v>
      </c>
      <c r="J34" s="61">
        <v>0</v>
      </c>
      <c r="K34" s="62">
        <f t="shared" si="0"/>
        <v>7500</v>
      </c>
    </row>
    <row r="35" spans="1:17" x14ac:dyDescent="0.3">
      <c r="A35" s="11">
        <f t="shared" si="1"/>
        <v>45283</v>
      </c>
      <c r="B35" s="57">
        <v>5800</v>
      </c>
      <c r="C35" s="58">
        <v>45280</v>
      </c>
      <c r="D35" s="59"/>
      <c r="E35" s="60" t="s">
        <v>182</v>
      </c>
      <c r="F35" s="61">
        <v>0</v>
      </c>
      <c r="G35" s="61">
        <v>5800</v>
      </c>
      <c r="H35" s="61">
        <v>0</v>
      </c>
      <c r="I35" s="61">
        <v>0</v>
      </c>
      <c r="J35" s="61">
        <v>0</v>
      </c>
      <c r="K35" s="62">
        <f t="shared" si="0"/>
        <v>5800</v>
      </c>
      <c r="M35" s="63"/>
      <c r="N35" s="63"/>
      <c r="O35" s="63"/>
      <c r="P35" s="63"/>
      <c r="Q35" s="63"/>
    </row>
    <row r="36" spans="1:17" x14ac:dyDescent="0.3">
      <c r="A36" s="11">
        <f t="shared" si="1"/>
        <v>45332</v>
      </c>
      <c r="B36" s="57">
        <v>32000</v>
      </c>
      <c r="C36" s="58">
        <v>45327</v>
      </c>
      <c r="D36" s="59"/>
      <c r="E36" s="67" t="s">
        <v>183</v>
      </c>
      <c r="F36" s="61">
        <v>22800</v>
      </c>
      <c r="G36" s="61">
        <v>23100</v>
      </c>
      <c r="H36" s="61">
        <v>0</v>
      </c>
      <c r="I36" s="61">
        <v>0</v>
      </c>
      <c r="J36" s="61">
        <v>0</v>
      </c>
      <c r="K36" s="62">
        <f t="shared" si="0"/>
        <v>45900</v>
      </c>
      <c r="M36" s="63"/>
      <c r="N36" s="63"/>
      <c r="O36" s="63"/>
      <c r="P36" s="63"/>
      <c r="Q36" s="63"/>
    </row>
    <row r="37" spans="1:17" x14ac:dyDescent="0.3">
      <c r="A37" s="11">
        <f t="shared" si="1"/>
        <v>45332</v>
      </c>
      <c r="B37" s="57">
        <v>6800</v>
      </c>
      <c r="C37" s="58">
        <v>45327</v>
      </c>
      <c r="D37" s="59"/>
      <c r="E37" s="67" t="s">
        <v>184</v>
      </c>
      <c r="F37" s="61">
        <v>0</v>
      </c>
      <c r="G37" s="61">
        <v>6800</v>
      </c>
      <c r="H37" s="61">
        <v>0</v>
      </c>
      <c r="I37" s="61">
        <v>0</v>
      </c>
      <c r="J37" s="61">
        <v>0</v>
      </c>
      <c r="K37" s="62">
        <f t="shared" si="0"/>
        <v>6800</v>
      </c>
      <c r="M37" s="63"/>
      <c r="N37" s="63"/>
      <c r="O37" s="63"/>
      <c r="P37" s="63"/>
      <c r="Q37" s="63"/>
    </row>
    <row r="38" spans="1:17" x14ac:dyDescent="0.3">
      <c r="A38" s="11">
        <f t="shared" si="1"/>
        <v>45332</v>
      </c>
      <c r="B38" s="57">
        <v>2500</v>
      </c>
      <c r="C38" s="58">
        <v>45327</v>
      </c>
      <c r="D38" s="59"/>
      <c r="E38" s="60" t="s">
        <v>185</v>
      </c>
      <c r="F38" s="61">
        <v>0</v>
      </c>
      <c r="G38" s="61">
        <v>2500</v>
      </c>
      <c r="H38" s="61">
        <v>0</v>
      </c>
      <c r="I38" s="61">
        <v>0</v>
      </c>
      <c r="J38" s="61">
        <v>0</v>
      </c>
      <c r="K38" s="62">
        <f t="shared" si="0"/>
        <v>2500</v>
      </c>
      <c r="M38" s="63"/>
      <c r="N38" s="63"/>
      <c r="O38" s="63"/>
      <c r="P38" s="63"/>
      <c r="Q38" s="63"/>
    </row>
    <row r="39" spans="1:17" x14ac:dyDescent="0.3">
      <c r="A39" s="11">
        <f t="shared" si="1"/>
        <v>45332</v>
      </c>
      <c r="B39" s="57">
        <v>15700</v>
      </c>
      <c r="C39" s="58">
        <v>45327</v>
      </c>
      <c r="D39" s="59"/>
      <c r="E39" s="60" t="s">
        <v>186</v>
      </c>
      <c r="F39" s="61">
        <v>0</v>
      </c>
      <c r="G39" s="61">
        <v>15700</v>
      </c>
      <c r="H39" s="61">
        <v>0</v>
      </c>
      <c r="I39" s="61">
        <v>0</v>
      </c>
      <c r="J39" s="61">
        <v>0</v>
      </c>
      <c r="K39" s="62">
        <f t="shared" si="0"/>
        <v>15700</v>
      </c>
      <c r="M39" s="63"/>
      <c r="N39" s="63"/>
      <c r="O39" s="63"/>
      <c r="P39" s="63"/>
      <c r="Q39" s="63"/>
    </row>
    <row r="40" spans="1:17" x14ac:dyDescent="0.3">
      <c r="A40" s="11">
        <f t="shared" si="1"/>
        <v>45332</v>
      </c>
      <c r="B40" s="57">
        <v>30000</v>
      </c>
      <c r="C40" s="58">
        <v>45327</v>
      </c>
      <c r="D40" s="59"/>
      <c r="E40" s="60" t="s">
        <v>187</v>
      </c>
      <c r="F40" s="61">
        <v>1000</v>
      </c>
      <c r="G40" s="61">
        <v>0</v>
      </c>
      <c r="H40" s="61">
        <v>100</v>
      </c>
      <c r="I40" s="61">
        <v>0</v>
      </c>
      <c r="J40" s="61">
        <v>0</v>
      </c>
      <c r="K40" s="62">
        <f t="shared" si="0"/>
        <v>1100</v>
      </c>
      <c r="M40" s="63"/>
      <c r="N40" s="63"/>
      <c r="O40" s="63"/>
      <c r="P40" s="63"/>
      <c r="Q40" s="63"/>
    </row>
    <row r="41" spans="1:17" x14ac:dyDescent="0.3">
      <c r="A41" s="11">
        <f t="shared" si="1"/>
        <v>45332</v>
      </c>
      <c r="B41" s="57">
        <v>200</v>
      </c>
      <c r="C41" s="58">
        <v>45327</v>
      </c>
      <c r="D41" s="59"/>
      <c r="E41" s="60" t="s">
        <v>188</v>
      </c>
      <c r="F41" s="61">
        <v>0</v>
      </c>
      <c r="G41" s="61">
        <v>200</v>
      </c>
      <c r="H41" s="61">
        <v>0</v>
      </c>
      <c r="I41" s="61">
        <v>0</v>
      </c>
      <c r="J41" s="61">
        <v>0</v>
      </c>
      <c r="K41" s="62">
        <f t="shared" si="0"/>
        <v>200</v>
      </c>
      <c r="M41" s="63"/>
      <c r="N41" s="63"/>
      <c r="O41" s="63"/>
      <c r="P41" s="63"/>
      <c r="Q41" s="63"/>
    </row>
    <row r="42" spans="1:17" x14ac:dyDescent="0.3">
      <c r="A42" s="11">
        <f t="shared" si="1"/>
        <v>45283</v>
      </c>
      <c r="B42" s="57">
        <v>16500</v>
      </c>
      <c r="C42" s="58">
        <v>45280</v>
      </c>
      <c r="D42" s="59"/>
      <c r="E42" s="60" t="s">
        <v>189</v>
      </c>
      <c r="F42" s="61">
        <v>0</v>
      </c>
      <c r="G42" s="61">
        <v>16500</v>
      </c>
      <c r="H42" s="61">
        <v>0</v>
      </c>
      <c r="I42" s="61">
        <v>0</v>
      </c>
      <c r="J42" s="61">
        <v>0</v>
      </c>
      <c r="K42" s="62">
        <f t="shared" si="0"/>
        <v>16500</v>
      </c>
      <c r="M42" s="63"/>
      <c r="N42" s="63"/>
      <c r="O42" s="63"/>
      <c r="P42" s="63"/>
      <c r="Q42" s="63"/>
    </row>
    <row r="43" spans="1:17" x14ac:dyDescent="0.3">
      <c r="A43" s="11">
        <f t="shared" si="1"/>
        <v>45346</v>
      </c>
      <c r="B43" s="57">
        <v>90000</v>
      </c>
      <c r="C43" s="58">
        <v>45342</v>
      </c>
      <c r="D43" s="59"/>
      <c r="E43" s="64" t="s">
        <v>190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6">
        <f t="shared" si="0"/>
        <v>0</v>
      </c>
    </row>
    <row r="44" spans="1:17" x14ac:dyDescent="0.3">
      <c r="A44" s="11">
        <f t="shared" si="1"/>
        <v>45276</v>
      </c>
      <c r="B44" s="57">
        <v>1800</v>
      </c>
      <c r="C44" s="58">
        <v>45275</v>
      </c>
      <c r="D44" s="59"/>
      <c r="E44" s="60" t="s">
        <v>191</v>
      </c>
      <c r="F44" s="61">
        <v>0</v>
      </c>
      <c r="G44" s="61">
        <v>0</v>
      </c>
      <c r="H44" s="61">
        <v>0</v>
      </c>
      <c r="I44" s="61">
        <v>0</v>
      </c>
      <c r="J44" s="61">
        <v>1800</v>
      </c>
      <c r="K44" s="62">
        <f t="shared" si="0"/>
        <v>1800</v>
      </c>
    </row>
    <row r="45" spans="1:17" x14ac:dyDescent="0.3">
      <c r="A45" s="11">
        <f t="shared" si="1"/>
        <v>45332</v>
      </c>
      <c r="B45" s="57">
        <v>800</v>
      </c>
      <c r="C45" s="58">
        <v>45327</v>
      </c>
      <c r="D45" s="59"/>
      <c r="E45" s="60" t="s">
        <v>192</v>
      </c>
      <c r="F45" s="61">
        <v>800</v>
      </c>
      <c r="G45" s="61">
        <v>0</v>
      </c>
      <c r="H45" s="61">
        <v>0</v>
      </c>
      <c r="I45" s="61">
        <v>0</v>
      </c>
      <c r="J45" s="61">
        <v>0</v>
      </c>
      <c r="K45" s="62">
        <f t="shared" si="0"/>
        <v>800</v>
      </c>
    </row>
    <row r="46" spans="1:17" x14ac:dyDescent="0.3">
      <c r="A46" s="11">
        <f t="shared" si="1"/>
        <v>45332</v>
      </c>
      <c r="B46" s="57">
        <v>0</v>
      </c>
      <c r="C46" s="58">
        <v>45327</v>
      </c>
      <c r="D46" s="59"/>
      <c r="E46" s="60" t="s">
        <v>193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2">
        <f t="shared" si="0"/>
        <v>0</v>
      </c>
    </row>
  </sheetData>
  <autoFilter ref="A2:K2" xr:uid="{78CF2B76-5D31-4FBF-8F88-1532924B5966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63F2-C707-4302-BE67-E22CD8E6DD54}">
  <sheetPr>
    <tabColor rgb="FF00B050"/>
  </sheetPr>
  <dimension ref="A1:J432"/>
  <sheetViews>
    <sheetView workbookViewId="0">
      <pane ySplit="1" topLeftCell="A2" activePane="bottomLeft" state="frozen"/>
      <selection pane="bottomLeft" activeCell="A2" sqref="A2"/>
    </sheetView>
  </sheetViews>
  <sheetFormatPr defaultRowHeight="13" x14ac:dyDescent="0.3"/>
  <cols>
    <col min="1" max="1" width="13.296875" bestFit="1" customWidth="1"/>
    <col min="2" max="2" width="42.09765625" bestFit="1" customWidth="1"/>
    <col min="3" max="4" width="25.09765625" bestFit="1" customWidth="1"/>
    <col min="5" max="5" width="21.8984375" style="1" bestFit="1" customWidth="1"/>
    <col min="6" max="6" width="10.3984375" style="2" bestFit="1" customWidth="1"/>
    <col min="7" max="7" width="16.296875" style="3" bestFit="1" customWidth="1"/>
    <col min="8" max="8" width="39" style="4" bestFit="1" customWidth="1"/>
    <col min="9" max="9" width="12" style="5" bestFit="1" customWidth="1"/>
    <col min="10" max="10" width="11.3984375" style="5" bestFit="1" customWidth="1"/>
  </cols>
  <sheetData>
    <row r="1" spans="1:10" x14ac:dyDescent="0.3">
      <c r="A1" t="s">
        <v>28</v>
      </c>
      <c r="B1" t="s">
        <v>29</v>
      </c>
      <c r="C1" t="s">
        <v>30</v>
      </c>
      <c r="D1" t="s">
        <v>31</v>
      </c>
      <c r="E1" s="1" t="s">
        <v>32</v>
      </c>
      <c r="F1" s="6" t="s">
        <v>0</v>
      </c>
      <c r="G1" s="7" t="s">
        <v>1</v>
      </c>
      <c r="H1" s="8" t="s">
        <v>2</v>
      </c>
      <c r="I1" s="9" t="s">
        <v>3</v>
      </c>
      <c r="J1" s="9" t="s">
        <v>4</v>
      </c>
    </row>
    <row r="2" spans="1:10" x14ac:dyDescent="0.3">
      <c r="A2" s="11">
        <f t="shared" ref="A2:A65" si="0">F2+7-WEEKDAY(F2+7-7)</f>
        <v>45220</v>
      </c>
      <c r="B2" t="str">
        <f t="shared" ref="B2:B65" si="1">E2&amp;H2</f>
        <v>1WEB AUTHORIZED PMT KRYPTONIX</v>
      </c>
      <c r="C2" t="str" cm="1">
        <f t="array" ref="C2">IFERROR(INDEX(Table1[Category],MATCH(B2,Table1[Unique ID Matches],0)),INDEX(Table2[Category],MATCH(TRUE,ISNUMBER(SEARCH(Table2[Unique ID Contains],B2)),0)))</f>
        <v>Dues &amp; Subscriptions</v>
      </c>
      <c r="D2" t="str">
        <f>INDEX('13 weeks CF'!$C$9:$C$59,MATCH(C2,'13 weeks CF'!$C$9:$C$59,0))</f>
        <v>Dues &amp; Subscriptions</v>
      </c>
      <c r="E2" s="3">
        <v>1</v>
      </c>
      <c r="F2" s="2">
        <v>45215</v>
      </c>
      <c r="G2" s="3" t="s">
        <v>5</v>
      </c>
      <c r="H2" s="4" t="s">
        <v>6</v>
      </c>
      <c r="I2" s="5">
        <v>-83</v>
      </c>
      <c r="J2" s="5">
        <v>29760</v>
      </c>
    </row>
    <row r="3" spans="1:10" x14ac:dyDescent="0.3">
      <c r="A3" s="11">
        <f t="shared" si="0"/>
        <v>45220</v>
      </c>
      <c r="B3" t="str">
        <f t="shared" si="1"/>
        <v>2WEB AUTHORIZED PMT KRYPTONIX</v>
      </c>
      <c r="C3" t="str" cm="1">
        <f t="array" ref="C3">IFERROR(INDEX(Table1[Category],MATCH(B3,Table1[Unique ID Matches],0)),INDEX(Table2[Category],MATCH(TRUE,ISNUMBER(SEARCH(Table2[Unique ID Contains],B3)),0)))</f>
        <v>Dues &amp; Subscriptions</v>
      </c>
      <c r="D3" t="str">
        <f>INDEX('13 weeks CF'!$C$9:$C$59,MATCH(C3,'13 weeks CF'!$C$9:$C$59,0))</f>
        <v>Dues &amp; Subscriptions</v>
      </c>
      <c r="E3" s="3">
        <v>2</v>
      </c>
      <c r="F3" s="2">
        <v>45215</v>
      </c>
      <c r="G3" s="3" t="s">
        <v>5</v>
      </c>
      <c r="H3" s="4" t="s">
        <v>6</v>
      </c>
      <c r="I3" s="5">
        <v>-230</v>
      </c>
      <c r="J3" s="5">
        <v>29530</v>
      </c>
    </row>
    <row r="4" spans="1:10" x14ac:dyDescent="0.3">
      <c r="A4" s="11">
        <f t="shared" si="0"/>
        <v>45220</v>
      </c>
      <c r="B4" t="str">
        <f t="shared" si="1"/>
        <v>3CHECK</v>
      </c>
      <c r="C4" t="str" cm="1">
        <f t="array" ref="C4">IFERROR(INDEX(Table1[Category],MATCH(B4,Table1[Unique ID Matches],0)),INDEX(Table2[Category],MATCH(TRUE,ISNUMBER(SEARCH(Table2[Unique ID Contains],B4)),0)))</f>
        <v>Payroll</v>
      </c>
      <c r="D4" t="str">
        <f>INDEX('13 weeks CF'!$C$9:$C$59,MATCH(C4,'13 weeks CF'!$C$9:$C$59,0))</f>
        <v>Payroll</v>
      </c>
      <c r="E4" s="3">
        <v>3</v>
      </c>
      <c r="F4" s="2">
        <v>45215</v>
      </c>
      <c r="G4" s="3">
        <v>79613</v>
      </c>
      <c r="H4" s="4" t="s">
        <v>7</v>
      </c>
      <c r="I4" s="5">
        <v>-2000</v>
      </c>
      <c r="J4" s="5">
        <v>27530</v>
      </c>
    </row>
    <row r="5" spans="1:10" x14ac:dyDescent="0.3">
      <c r="A5" s="11">
        <f t="shared" si="0"/>
        <v>45220</v>
      </c>
      <c r="B5" t="str">
        <f t="shared" si="1"/>
        <v>4CHECK</v>
      </c>
      <c r="C5" t="str" cm="1">
        <f t="array" ref="C5">IFERROR(INDEX(Table1[Category],MATCH(B5,Table1[Unique ID Matches],0)),INDEX(Table2[Category],MATCH(TRUE,ISNUMBER(SEARCH(Table2[Unique ID Contains],B5)),0)))</f>
        <v>Payroll</v>
      </c>
      <c r="D5" t="str">
        <f>INDEX('13 weeks CF'!$C$9:$C$59,MATCH(C5,'13 weeks CF'!$C$9:$C$59,0))</f>
        <v>Payroll</v>
      </c>
      <c r="E5" s="3">
        <v>4</v>
      </c>
      <c r="F5" s="2">
        <v>45215</v>
      </c>
      <c r="G5" s="3">
        <v>79671</v>
      </c>
      <c r="H5" s="4" t="s">
        <v>7</v>
      </c>
      <c r="I5" s="5">
        <v>-1270</v>
      </c>
      <c r="J5" s="5">
        <v>26260</v>
      </c>
    </row>
    <row r="6" spans="1:10" x14ac:dyDescent="0.3">
      <c r="A6" s="11">
        <f t="shared" si="0"/>
        <v>45220</v>
      </c>
      <c r="B6" t="str">
        <f t="shared" si="1"/>
        <v>5CHECK</v>
      </c>
      <c r="C6" t="str" cm="1">
        <f t="array" ref="C6">IFERROR(INDEX(Table1[Category],MATCH(B6,Table1[Unique ID Matches],0)),INDEX(Table2[Category],MATCH(TRUE,ISNUMBER(SEARCH(Table2[Unique ID Contains],B6)),0)))</f>
        <v>Accounts Payable</v>
      </c>
      <c r="D6" t="str">
        <f>INDEX('13 weeks CF'!$C$9:$C$59,MATCH(C6,'13 weeks CF'!$C$9:$C$59,0))</f>
        <v>Accounts Payable</v>
      </c>
      <c r="E6" s="3">
        <v>5</v>
      </c>
      <c r="F6" s="2">
        <v>45215</v>
      </c>
      <c r="G6" s="3">
        <v>79673</v>
      </c>
      <c r="H6" s="4" t="s">
        <v>7</v>
      </c>
      <c r="I6" s="5">
        <v>-6570</v>
      </c>
      <c r="J6" s="5">
        <v>19690</v>
      </c>
    </row>
    <row r="7" spans="1:10" x14ac:dyDescent="0.3">
      <c r="A7" s="11">
        <f t="shared" si="0"/>
        <v>45220</v>
      </c>
      <c r="B7" t="str">
        <f t="shared" si="1"/>
        <v>6DEPOSIT</v>
      </c>
      <c r="C7" t="str" cm="1">
        <f t="array" ref="C7">IFERROR(INDEX(Table1[Category],MATCH(B7,Table1[Unique ID Matches],0)),INDEX(Table2[Category],MATCH(TRUE,ISNUMBER(SEARCH(Table2[Unique ID Contains],B7)),0)))</f>
        <v>Invoiced AR + New Revenue</v>
      </c>
      <c r="D7" t="str">
        <f>INDEX('13 weeks CF'!$C$9:$C$59,MATCH(C7,'13 weeks CF'!$C$9:$C$59,0))</f>
        <v>Invoiced AR + New Revenue</v>
      </c>
      <c r="E7" s="3">
        <v>6</v>
      </c>
      <c r="F7" s="2">
        <v>45216</v>
      </c>
      <c r="G7" s="3" t="s">
        <v>8</v>
      </c>
      <c r="H7" s="4" t="s">
        <v>9</v>
      </c>
      <c r="I7" s="5">
        <v>3270</v>
      </c>
      <c r="J7" s="5">
        <v>22960</v>
      </c>
    </row>
    <row r="8" spans="1:10" x14ac:dyDescent="0.3">
      <c r="A8" s="11">
        <f t="shared" si="0"/>
        <v>45220</v>
      </c>
      <c r="B8" t="str">
        <f t="shared" si="1"/>
        <v>7ELECTRONIC WITHDRAWAL GLOWTECH</v>
      </c>
      <c r="C8" t="str" cm="1">
        <f t="array" ref="C8">IFERROR(INDEX(Table1[Category],MATCH(B8,Table1[Unique ID Matches],0)),INDEX(Table2[Category],MATCH(TRUE,ISNUMBER(SEARCH(Table2[Unique ID Contains],B8)),0)))</f>
        <v>Technology</v>
      </c>
      <c r="D8" t="str">
        <f>INDEX('13 weeks CF'!$C$9:$C$59,MATCH(C8,'13 weeks CF'!$C$9:$C$59,0))</f>
        <v>Technology</v>
      </c>
      <c r="E8" s="3">
        <v>7</v>
      </c>
      <c r="F8" s="2">
        <v>45216</v>
      </c>
      <c r="G8" s="3" t="s">
        <v>5</v>
      </c>
      <c r="H8" s="4" t="s">
        <v>10</v>
      </c>
      <c r="I8" s="5">
        <v>-1030</v>
      </c>
      <c r="J8" s="5">
        <v>21930</v>
      </c>
    </row>
    <row r="9" spans="1:10" x14ac:dyDescent="0.3">
      <c r="A9" s="11">
        <f t="shared" si="0"/>
        <v>45220</v>
      </c>
      <c r="B9" t="str">
        <f t="shared" si="1"/>
        <v>8CHECK</v>
      </c>
      <c r="C9" t="str" cm="1">
        <f t="array" ref="C9">IFERROR(INDEX(Table1[Category],MATCH(B9,Table1[Unique ID Matches],0)),INDEX(Table2[Category],MATCH(TRUE,ISNUMBER(SEARCH(Table2[Unique ID Contains],B9)),0)))</f>
        <v>Payroll</v>
      </c>
      <c r="D9" t="str">
        <f>INDEX('13 weeks CF'!$C$9:$C$59,MATCH(C9,'13 weeks CF'!$C$9:$C$59,0))</f>
        <v>Payroll</v>
      </c>
      <c r="E9" s="3">
        <v>8</v>
      </c>
      <c r="F9" s="2">
        <v>45216</v>
      </c>
      <c r="G9" s="3">
        <v>79685</v>
      </c>
      <c r="H9" s="4" t="s">
        <v>7</v>
      </c>
      <c r="I9" s="5">
        <v>-1150</v>
      </c>
      <c r="J9" s="5">
        <v>20780</v>
      </c>
    </row>
    <row r="10" spans="1:10" x14ac:dyDescent="0.3">
      <c r="A10" s="11">
        <f t="shared" si="0"/>
        <v>45220</v>
      </c>
      <c r="B10" t="str">
        <f t="shared" si="1"/>
        <v>9CHECK</v>
      </c>
      <c r="C10" t="str" cm="1">
        <f t="array" ref="C10">IFERROR(INDEX(Table1[Category],MATCH(B10,Table1[Unique ID Matches],0)),INDEX(Table2[Category],MATCH(TRUE,ISNUMBER(SEARCH(Table2[Unique ID Contains],B10)),0)))</f>
        <v>Payroll</v>
      </c>
      <c r="D10" t="str">
        <f>INDEX('13 weeks CF'!$C$9:$C$59,MATCH(C10,'13 weeks CF'!$C$9:$C$59,0))</f>
        <v>Payroll</v>
      </c>
      <c r="E10" s="3">
        <v>9</v>
      </c>
      <c r="F10" s="2">
        <v>45216</v>
      </c>
      <c r="G10" s="3">
        <v>79719</v>
      </c>
      <c r="H10" s="4" t="s">
        <v>7</v>
      </c>
      <c r="I10" s="5">
        <v>-100</v>
      </c>
      <c r="J10" s="5">
        <v>20680</v>
      </c>
    </row>
    <row r="11" spans="1:10" x14ac:dyDescent="0.3">
      <c r="A11" s="11">
        <f t="shared" si="0"/>
        <v>45220</v>
      </c>
      <c r="B11" t="str">
        <f t="shared" si="1"/>
        <v>10DEPOSIT</v>
      </c>
      <c r="C11" t="str" cm="1">
        <f t="array" ref="C11">IFERROR(INDEX(Table1[Category],MATCH(B11,Table1[Unique ID Matches],0)),INDEX(Table2[Category],MATCH(TRUE,ISNUMBER(SEARCH(Table2[Unique ID Contains],B11)),0)))</f>
        <v>Invoiced AR + New Revenue</v>
      </c>
      <c r="D11" t="str">
        <f>INDEX('13 weeks CF'!$C$9:$C$59,MATCH(C11,'13 weeks CF'!$C$9:$C$59,0))</f>
        <v>Invoiced AR + New Revenue</v>
      </c>
      <c r="E11" s="3">
        <v>10</v>
      </c>
      <c r="F11" s="2">
        <v>45217</v>
      </c>
      <c r="G11" s="3" t="s">
        <v>8</v>
      </c>
      <c r="H11" s="4" t="s">
        <v>9</v>
      </c>
      <c r="I11" s="5">
        <v>20000</v>
      </c>
      <c r="J11" s="5">
        <v>40680</v>
      </c>
    </row>
    <row r="12" spans="1:10" x14ac:dyDescent="0.3">
      <c r="A12" s="11">
        <f t="shared" si="0"/>
        <v>45220</v>
      </c>
      <c r="B12" t="str">
        <f t="shared" si="1"/>
        <v>11DEPOSIT</v>
      </c>
      <c r="C12" t="str" cm="1">
        <f t="array" ref="C12">IFERROR(INDEX(Table1[Category],MATCH(B12,Table1[Unique ID Matches],0)),INDEX(Table2[Category],MATCH(TRUE,ISNUMBER(SEARCH(Table2[Unique ID Contains],B12)),0)))</f>
        <v>Invoiced AR + New Revenue</v>
      </c>
      <c r="D12" t="str">
        <f>INDEX('13 weeks CF'!$C$9:$C$59,MATCH(C12,'13 weeks CF'!$C$9:$C$59,0))</f>
        <v>Invoiced AR + New Revenue</v>
      </c>
      <c r="E12" s="3">
        <v>11</v>
      </c>
      <c r="F12" s="2">
        <v>45217</v>
      </c>
      <c r="G12" s="3" t="s">
        <v>8</v>
      </c>
      <c r="H12" s="4" t="s">
        <v>9</v>
      </c>
      <c r="I12" s="5">
        <v>12180</v>
      </c>
      <c r="J12" s="5">
        <v>52860</v>
      </c>
    </row>
    <row r="13" spans="1:10" x14ac:dyDescent="0.3">
      <c r="A13" s="11">
        <f t="shared" si="0"/>
        <v>45220</v>
      </c>
      <c r="B13" t="str">
        <f t="shared" si="1"/>
        <v>12DEPOSIT</v>
      </c>
      <c r="C13" t="str" cm="1">
        <f t="array" ref="C13">IFERROR(INDEX(Table1[Category],MATCH(B13,Table1[Unique ID Matches],0)),INDEX(Table2[Category],MATCH(TRUE,ISNUMBER(SEARCH(Table2[Unique ID Contains],B13)),0)))</f>
        <v>Invoiced AR + New Revenue</v>
      </c>
      <c r="D13" t="str">
        <f>INDEX('13 weeks CF'!$C$9:$C$59,MATCH(C13,'13 weeks CF'!$C$9:$C$59,0))</f>
        <v>Invoiced AR + New Revenue</v>
      </c>
      <c r="E13" s="3">
        <v>12</v>
      </c>
      <c r="F13" s="2">
        <v>45217</v>
      </c>
      <c r="G13" s="3" t="s">
        <v>8</v>
      </c>
      <c r="H13" s="4" t="s">
        <v>9</v>
      </c>
      <c r="I13" s="5">
        <v>7780</v>
      </c>
      <c r="J13" s="5">
        <v>60640</v>
      </c>
    </row>
    <row r="14" spans="1:10" x14ac:dyDescent="0.3">
      <c r="A14" s="11">
        <f t="shared" si="0"/>
        <v>45220</v>
      </c>
      <c r="B14" t="str">
        <f t="shared" si="1"/>
        <v>13ELECTRONIC WITHDRAWAL STATE DEPT REVENUE</v>
      </c>
      <c r="C14" t="str" cm="1">
        <f t="array" ref="C14">IFERROR(INDEX(Table1[Category],MATCH(B14,Table1[Unique ID Matches],0)),INDEX(Table2[Category],MATCH(TRUE,ISNUMBER(SEARCH(Table2[Unique ID Contains],B14)),0)))</f>
        <v>Tax Distributions</v>
      </c>
      <c r="D14" t="str">
        <f>INDEX('13 weeks CF'!$C$9:$C$59,MATCH(C14,'13 weeks CF'!$C$9:$C$59,0))</f>
        <v>Tax Distributions</v>
      </c>
      <c r="E14" s="3">
        <v>13</v>
      </c>
      <c r="F14" s="2">
        <v>45217</v>
      </c>
      <c r="G14" s="3" t="s">
        <v>5</v>
      </c>
      <c r="H14" s="4" t="s">
        <v>11</v>
      </c>
      <c r="I14" s="5">
        <v>-3230</v>
      </c>
      <c r="J14" s="5">
        <v>57410</v>
      </c>
    </row>
    <row r="15" spans="1:10" x14ac:dyDescent="0.3">
      <c r="A15" s="11">
        <f t="shared" si="0"/>
        <v>45220</v>
      </c>
      <c r="B15" t="str">
        <f t="shared" si="1"/>
        <v>14ELECTRONIC WITHDRAWAL IRS</v>
      </c>
      <c r="C15" t="str" cm="1">
        <f t="array" ref="C15">IFERROR(INDEX(Table1[Category],MATCH(B15,Table1[Unique ID Matches],0)),INDEX(Table2[Category],MATCH(TRUE,ISNUMBER(SEARCH(Table2[Unique ID Contains],B15)),0)))</f>
        <v>Tax Distributions</v>
      </c>
      <c r="D15" t="str">
        <f>INDEX('13 weeks CF'!$C$9:$C$59,MATCH(C15,'13 weeks CF'!$C$9:$C$59,0))</f>
        <v>Tax Distributions</v>
      </c>
      <c r="E15" s="3">
        <v>14</v>
      </c>
      <c r="F15" s="2">
        <v>45217</v>
      </c>
      <c r="G15" s="3" t="s">
        <v>5</v>
      </c>
      <c r="H15" s="4" t="s">
        <v>12</v>
      </c>
      <c r="I15" s="5">
        <v>-16370</v>
      </c>
      <c r="J15" s="5">
        <v>41040</v>
      </c>
    </row>
    <row r="16" spans="1:10" x14ac:dyDescent="0.3">
      <c r="A16" s="11">
        <f t="shared" si="0"/>
        <v>45220</v>
      </c>
      <c r="B16" t="str">
        <f t="shared" si="1"/>
        <v>15CHECK</v>
      </c>
      <c r="C16" t="str" cm="1">
        <f t="array" ref="C16">IFERROR(INDEX(Table1[Category],MATCH(B16,Table1[Unique ID Matches],0)),INDEX(Table2[Category],MATCH(TRUE,ISNUMBER(SEARCH(Table2[Unique ID Contains],B16)),0)))</f>
        <v>Accounts Payable</v>
      </c>
      <c r="D16" t="str">
        <f>INDEX('13 weeks CF'!$C$9:$C$59,MATCH(C16,'13 weeks CF'!$C$9:$C$59,0))</f>
        <v>Accounts Payable</v>
      </c>
      <c r="E16" s="3">
        <v>15</v>
      </c>
      <c r="F16" s="2">
        <v>45217</v>
      </c>
      <c r="G16" s="3">
        <v>79665</v>
      </c>
      <c r="H16" s="4" t="s">
        <v>7</v>
      </c>
      <c r="I16" s="5">
        <v>-11630</v>
      </c>
      <c r="J16" s="5">
        <v>29410</v>
      </c>
    </row>
    <row r="17" spans="1:10" x14ac:dyDescent="0.3">
      <c r="A17" s="11">
        <f t="shared" si="0"/>
        <v>45220</v>
      </c>
      <c r="B17" t="str">
        <f t="shared" si="1"/>
        <v>16DEPOSIT</v>
      </c>
      <c r="C17" t="str" cm="1">
        <f t="array" ref="C17">IFERROR(INDEX(Table1[Category],MATCH(B17,Table1[Unique ID Matches],0)),INDEX(Table2[Category],MATCH(TRUE,ISNUMBER(SEARCH(Table2[Unique ID Contains],B17)),0)))</f>
        <v>Invoiced AR + New Revenue</v>
      </c>
      <c r="D17" t="str">
        <f>INDEX('13 weeks CF'!$C$9:$C$59,MATCH(C17,'13 weeks CF'!$C$9:$C$59,0))</f>
        <v>Invoiced AR + New Revenue</v>
      </c>
      <c r="E17" s="3">
        <v>16</v>
      </c>
      <c r="F17" s="2">
        <v>45218</v>
      </c>
      <c r="G17" s="3" t="s">
        <v>8</v>
      </c>
      <c r="H17" s="4" t="s">
        <v>9</v>
      </c>
      <c r="I17" s="5">
        <v>475690</v>
      </c>
      <c r="J17" s="5">
        <v>505100</v>
      </c>
    </row>
    <row r="18" spans="1:10" x14ac:dyDescent="0.3">
      <c r="A18" s="11">
        <f t="shared" si="0"/>
        <v>45220</v>
      </c>
      <c r="B18" t="str">
        <f t="shared" si="1"/>
        <v>17ELECTRONIC WITHDRAWAL PAYROLL</v>
      </c>
      <c r="C18" t="str" cm="1">
        <f t="array" ref="C18">IFERROR(INDEX(Table1[Category],MATCH(B18,Table1[Unique ID Matches],0)),INDEX(Table2[Category],MATCH(TRUE,ISNUMBER(SEARCH(Table2[Unique ID Contains],B18)),0)))</f>
        <v>Payroll</v>
      </c>
      <c r="D18" t="str">
        <f>INDEX('13 weeks CF'!$C$9:$C$59,MATCH(C18,'13 weeks CF'!$C$9:$C$59,0))</f>
        <v>Payroll</v>
      </c>
      <c r="E18" s="3">
        <v>17</v>
      </c>
      <c r="F18" s="2">
        <v>45218</v>
      </c>
      <c r="G18" s="3" t="s">
        <v>5</v>
      </c>
      <c r="H18" s="4" t="s">
        <v>13</v>
      </c>
      <c r="I18" s="5">
        <v>-21670</v>
      </c>
      <c r="J18" s="5">
        <v>483430</v>
      </c>
    </row>
    <row r="19" spans="1:10" x14ac:dyDescent="0.3">
      <c r="A19" s="11">
        <f t="shared" si="0"/>
        <v>45220</v>
      </c>
      <c r="B19" t="str">
        <f t="shared" si="1"/>
        <v>18CHECK</v>
      </c>
      <c r="C19" t="str" cm="1">
        <f t="array" ref="C19">IFERROR(INDEX(Table1[Category],MATCH(B19,Table1[Unique ID Matches],0)),INDEX(Table2[Category],MATCH(TRUE,ISNUMBER(SEARCH(Table2[Unique ID Contains],B19)),0)))</f>
        <v>Accounts Payable</v>
      </c>
      <c r="D19" t="str">
        <f>INDEX('13 weeks CF'!$C$9:$C$59,MATCH(C19,'13 weeks CF'!$C$9:$C$59,0))</f>
        <v>Accounts Payable</v>
      </c>
      <c r="E19" s="3">
        <v>18</v>
      </c>
      <c r="F19" s="2">
        <v>45218</v>
      </c>
      <c r="G19" s="3">
        <v>79764</v>
      </c>
      <c r="H19" s="4" t="s">
        <v>7</v>
      </c>
      <c r="I19" s="5">
        <v>-94000</v>
      </c>
      <c r="J19" s="5">
        <v>389430</v>
      </c>
    </row>
    <row r="20" spans="1:10" x14ac:dyDescent="0.3">
      <c r="A20" s="11">
        <f t="shared" si="0"/>
        <v>45220</v>
      </c>
      <c r="B20" t="str">
        <f t="shared" si="1"/>
        <v>19DEPOSIT</v>
      </c>
      <c r="C20" t="str" cm="1">
        <f t="array" ref="C20">IFERROR(INDEX(Table1[Category],MATCH(B20,Table1[Unique ID Matches],0)),INDEX(Table2[Category],MATCH(TRUE,ISNUMBER(SEARCH(Table2[Unique ID Contains],B20)),0)))</f>
        <v>Invoiced AR + New Revenue</v>
      </c>
      <c r="D20" t="str">
        <f>INDEX('13 weeks CF'!$C$9:$C$59,MATCH(C20,'13 weeks CF'!$C$9:$C$59,0))</f>
        <v>Invoiced AR + New Revenue</v>
      </c>
      <c r="E20" s="3">
        <v>19</v>
      </c>
      <c r="F20" s="2">
        <v>45219</v>
      </c>
      <c r="G20" s="3" t="s">
        <v>8</v>
      </c>
      <c r="H20" s="4" t="s">
        <v>9</v>
      </c>
      <c r="I20" s="5">
        <v>1650</v>
      </c>
      <c r="J20" s="5">
        <v>391080</v>
      </c>
    </row>
    <row r="21" spans="1:10" x14ac:dyDescent="0.3">
      <c r="A21" s="11">
        <f t="shared" si="0"/>
        <v>45220</v>
      </c>
      <c r="B21" t="str">
        <f t="shared" si="1"/>
        <v>20ELECTRONIC WITHDRAWAL FRACTALIX</v>
      </c>
      <c r="C21" t="str" cm="1">
        <f t="array" ref="C21">IFERROR(INDEX(Table1[Category],MATCH(B21,Table1[Unique ID Matches],0)),INDEX(Table2[Category],MATCH(TRUE,ISNUMBER(SEARCH(Table2[Unique ID Contains],B21)),0)))</f>
        <v>Lease Payments</v>
      </c>
      <c r="D21" t="str">
        <f>INDEX('13 weeks CF'!$C$9:$C$59,MATCH(C21,'13 weeks CF'!$C$9:$C$59,0))</f>
        <v>Lease Payments</v>
      </c>
      <c r="E21" s="3">
        <v>20</v>
      </c>
      <c r="F21" s="2">
        <v>45219</v>
      </c>
      <c r="G21" s="3" t="s">
        <v>5</v>
      </c>
      <c r="H21" s="4" t="s">
        <v>14</v>
      </c>
      <c r="I21" s="5">
        <v>-1350</v>
      </c>
      <c r="J21" s="5">
        <v>389730</v>
      </c>
    </row>
    <row r="22" spans="1:10" x14ac:dyDescent="0.3">
      <c r="A22" s="11">
        <f t="shared" si="0"/>
        <v>45220</v>
      </c>
      <c r="B22" t="str">
        <f t="shared" si="1"/>
        <v>21CHECK</v>
      </c>
      <c r="C22" t="str" cm="1">
        <f t="array" ref="C22">IFERROR(INDEX(Table1[Category],MATCH(B22,Table1[Unique ID Matches],0)),INDEX(Table2[Category],MATCH(TRUE,ISNUMBER(SEARCH(Table2[Unique ID Contains],B22)),0)))</f>
        <v>Payroll</v>
      </c>
      <c r="D22" t="str">
        <f>INDEX('13 weeks CF'!$C$9:$C$59,MATCH(C22,'13 weeks CF'!$C$9:$C$59,0))</f>
        <v>Payroll</v>
      </c>
      <c r="E22" s="3">
        <v>21</v>
      </c>
      <c r="F22" s="2">
        <v>45219</v>
      </c>
      <c r="G22" s="3">
        <v>79722</v>
      </c>
      <c r="H22" s="4" t="s">
        <v>7</v>
      </c>
      <c r="I22" s="5">
        <v>-1110</v>
      </c>
      <c r="J22" s="5">
        <v>388620</v>
      </c>
    </row>
    <row r="23" spans="1:10" x14ac:dyDescent="0.3">
      <c r="A23" s="11">
        <f t="shared" si="0"/>
        <v>45220</v>
      </c>
      <c r="B23" t="str">
        <f t="shared" si="1"/>
        <v>22CHECK</v>
      </c>
      <c r="C23" t="str" cm="1">
        <f t="array" ref="C23">IFERROR(INDEX(Table1[Category],MATCH(B23,Table1[Unique ID Matches],0)),INDEX(Table2[Category],MATCH(TRUE,ISNUMBER(SEARCH(Table2[Unique ID Contains],B23)),0)))</f>
        <v>Payroll</v>
      </c>
      <c r="D23" t="str">
        <f>INDEX('13 weeks CF'!$C$9:$C$59,MATCH(C23,'13 weeks CF'!$C$9:$C$59,0))</f>
        <v>Payroll</v>
      </c>
      <c r="E23" s="3">
        <v>22</v>
      </c>
      <c r="F23" s="2">
        <v>45219</v>
      </c>
      <c r="G23" s="3">
        <v>79723</v>
      </c>
      <c r="H23" s="4" t="s">
        <v>7</v>
      </c>
      <c r="I23" s="5">
        <v>-760</v>
      </c>
      <c r="J23" s="5">
        <v>387860</v>
      </c>
    </row>
    <row r="24" spans="1:10" x14ac:dyDescent="0.3">
      <c r="A24" s="11">
        <f t="shared" si="0"/>
        <v>45220</v>
      </c>
      <c r="B24" t="str">
        <f t="shared" si="1"/>
        <v>23CHECK</v>
      </c>
      <c r="C24" t="str" cm="1">
        <f t="array" ref="C24">IFERROR(INDEX(Table1[Category],MATCH(B24,Table1[Unique ID Matches],0)),INDEX(Table2[Category],MATCH(TRUE,ISNUMBER(SEARCH(Table2[Unique ID Contains],B24)),0)))</f>
        <v>Payroll</v>
      </c>
      <c r="D24" t="str">
        <f>INDEX('13 weeks CF'!$C$9:$C$59,MATCH(C24,'13 weeks CF'!$C$9:$C$59,0))</f>
        <v>Payroll</v>
      </c>
      <c r="E24" s="3">
        <v>23</v>
      </c>
      <c r="F24" s="2">
        <v>45219</v>
      </c>
      <c r="G24" s="3">
        <v>79724</v>
      </c>
      <c r="H24" s="4" t="s">
        <v>7</v>
      </c>
      <c r="I24" s="5">
        <v>-720</v>
      </c>
      <c r="J24" s="5">
        <v>387140</v>
      </c>
    </row>
    <row r="25" spans="1:10" x14ac:dyDescent="0.3">
      <c r="A25" s="11">
        <f t="shared" si="0"/>
        <v>45220</v>
      </c>
      <c r="B25" t="str">
        <f t="shared" si="1"/>
        <v>24CHECK</v>
      </c>
      <c r="C25" t="str" cm="1">
        <f t="array" ref="C25">IFERROR(INDEX(Table1[Category],MATCH(B25,Table1[Unique ID Matches],0)),INDEX(Table2[Category],MATCH(TRUE,ISNUMBER(SEARCH(Table2[Unique ID Contains],B25)),0)))</f>
        <v>Payroll</v>
      </c>
      <c r="D25" t="str">
        <f>INDEX('13 weeks CF'!$C$9:$C$59,MATCH(C25,'13 weeks CF'!$C$9:$C$59,0))</f>
        <v>Payroll</v>
      </c>
      <c r="E25" s="3">
        <v>24</v>
      </c>
      <c r="F25" s="2">
        <v>45219</v>
      </c>
      <c r="G25" s="3">
        <v>79726</v>
      </c>
      <c r="H25" s="4" t="s">
        <v>7</v>
      </c>
      <c r="I25" s="5">
        <v>-1880</v>
      </c>
      <c r="J25" s="5">
        <v>385260</v>
      </c>
    </row>
    <row r="26" spans="1:10" x14ac:dyDescent="0.3">
      <c r="A26" s="11">
        <f t="shared" si="0"/>
        <v>45220</v>
      </c>
      <c r="B26" t="str">
        <f t="shared" si="1"/>
        <v>25CHECK</v>
      </c>
      <c r="C26" t="str" cm="1">
        <f t="array" ref="C26">IFERROR(INDEX(Table1[Category],MATCH(B26,Table1[Unique ID Matches],0)),INDEX(Table2[Category],MATCH(TRUE,ISNUMBER(SEARCH(Table2[Unique ID Contains],B26)),0)))</f>
        <v>Payroll</v>
      </c>
      <c r="D26" t="str">
        <f>INDEX('13 weeks CF'!$C$9:$C$59,MATCH(C26,'13 weeks CF'!$C$9:$C$59,0))</f>
        <v>Payroll</v>
      </c>
      <c r="E26" s="3">
        <v>25</v>
      </c>
      <c r="F26" s="2">
        <v>45219</v>
      </c>
      <c r="G26" s="3">
        <v>79727</v>
      </c>
      <c r="H26" s="4" t="s">
        <v>7</v>
      </c>
      <c r="I26" s="5">
        <v>-1130</v>
      </c>
      <c r="J26" s="5">
        <v>384130</v>
      </c>
    </row>
    <row r="27" spans="1:10" x14ac:dyDescent="0.3">
      <c r="A27" s="11">
        <f t="shared" si="0"/>
        <v>45220</v>
      </c>
      <c r="B27" t="str">
        <f t="shared" si="1"/>
        <v>26CHECK</v>
      </c>
      <c r="C27" t="str" cm="1">
        <f t="array" ref="C27">IFERROR(INDEX(Table1[Category],MATCH(B27,Table1[Unique ID Matches],0)),INDEX(Table2[Category],MATCH(TRUE,ISNUMBER(SEARCH(Table2[Unique ID Contains],B27)),0)))</f>
        <v>Payroll</v>
      </c>
      <c r="D27" t="str">
        <f>INDEX('13 weeks CF'!$C$9:$C$59,MATCH(C27,'13 weeks CF'!$C$9:$C$59,0))</f>
        <v>Payroll</v>
      </c>
      <c r="E27" s="3">
        <v>26</v>
      </c>
      <c r="F27" s="2">
        <v>45219</v>
      </c>
      <c r="G27" s="3">
        <v>79728</v>
      </c>
      <c r="H27" s="4" t="s">
        <v>7</v>
      </c>
      <c r="I27" s="5">
        <v>-1260</v>
      </c>
      <c r="J27" s="5">
        <v>382870</v>
      </c>
    </row>
    <row r="28" spans="1:10" x14ac:dyDescent="0.3">
      <c r="A28" s="11">
        <f t="shared" si="0"/>
        <v>45220</v>
      </c>
      <c r="B28" t="str">
        <f t="shared" si="1"/>
        <v>27CHECK</v>
      </c>
      <c r="C28" t="str" cm="1">
        <f t="array" ref="C28">IFERROR(INDEX(Table1[Category],MATCH(B28,Table1[Unique ID Matches],0)),INDEX(Table2[Category],MATCH(TRUE,ISNUMBER(SEARCH(Table2[Unique ID Contains],B28)),0)))</f>
        <v>Payroll</v>
      </c>
      <c r="D28" t="str">
        <f>INDEX('13 weeks CF'!$C$9:$C$59,MATCH(C28,'13 weeks CF'!$C$9:$C$59,0))</f>
        <v>Payroll</v>
      </c>
      <c r="E28" s="3">
        <v>27</v>
      </c>
      <c r="F28" s="2">
        <v>45219</v>
      </c>
      <c r="G28" s="3">
        <v>79729</v>
      </c>
      <c r="H28" s="4" t="s">
        <v>7</v>
      </c>
      <c r="I28" s="5">
        <v>-1160</v>
      </c>
      <c r="J28" s="5">
        <v>381710</v>
      </c>
    </row>
    <row r="29" spans="1:10" x14ac:dyDescent="0.3">
      <c r="A29" s="11">
        <f t="shared" si="0"/>
        <v>45220</v>
      </c>
      <c r="B29" t="str">
        <f t="shared" si="1"/>
        <v>28CHECK</v>
      </c>
      <c r="C29" t="str" cm="1">
        <f t="array" ref="C29">IFERROR(INDEX(Table1[Category],MATCH(B29,Table1[Unique ID Matches],0)),INDEX(Table2[Category],MATCH(TRUE,ISNUMBER(SEARCH(Table2[Unique ID Contains],B29)),0)))</f>
        <v>Payroll</v>
      </c>
      <c r="D29" t="str">
        <f>INDEX('13 weeks CF'!$C$9:$C$59,MATCH(C29,'13 weeks CF'!$C$9:$C$59,0))</f>
        <v>Payroll</v>
      </c>
      <c r="E29" s="3">
        <v>28</v>
      </c>
      <c r="F29" s="2">
        <v>45219</v>
      </c>
      <c r="G29" s="3">
        <v>79730</v>
      </c>
      <c r="H29" s="4" t="s">
        <v>7</v>
      </c>
      <c r="I29" s="5">
        <v>-1280</v>
      </c>
      <c r="J29" s="5">
        <v>380430</v>
      </c>
    </row>
    <row r="30" spans="1:10" x14ac:dyDescent="0.3">
      <c r="A30" s="11">
        <f t="shared" si="0"/>
        <v>45220</v>
      </c>
      <c r="B30" t="str">
        <f t="shared" si="1"/>
        <v>29CHECK</v>
      </c>
      <c r="C30" t="str" cm="1">
        <f t="array" ref="C30">IFERROR(INDEX(Table1[Category],MATCH(B30,Table1[Unique ID Matches],0)),INDEX(Table2[Category],MATCH(TRUE,ISNUMBER(SEARCH(Table2[Unique ID Contains],B30)),0)))</f>
        <v>Payroll</v>
      </c>
      <c r="D30" t="str">
        <f>INDEX('13 weeks CF'!$C$9:$C$59,MATCH(C30,'13 weeks CF'!$C$9:$C$59,0))</f>
        <v>Payroll</v>
      </c>
      <c r="E30" s="3">
        <v>29</v>
      </c>
      <c r="F30" s="2">
        <v>45219</v>
      </c>
      <c r="G30" s="3">
        <v>79731</v>
      </c>
      <c r="H30" s="4" t="s">
        <v>7</v>
      </c>
      <c r="I30" s="5">
        <v>-1180</v>
      </c>
      <c r="J30" s="5">
        <v>379250</v>
      </c>
    </row>
    <row r="31" spans="1:10" x14ac:dyDescent="0.3">
      <c r="A31" s="11">
        <f t="shared" si="0"/>
        <v>45220</v>
      </c>
      <c r="B31" t="str">
        <f t="shared" si="1"/>
        <v>30CHECK</v>
      </c>
      <c r="C31" t="str" cm="1">
        <f t="array" ref="C31">IFERROR(INDEX(Table1[Category],MATCH(B31,Table1[Unique ID Matches],0)),INDEX(Table2[Category],MATCH(TRUE,ISNUMBER(SEARCH(Table2[Unique ID Contains],B31)),0)))</f>
        <v>Payroll</v>
      </c>
      <c r="D31" t="str">
        <f>INDEX('13 weeks CF'!$C$9:$C$59,MATCH(C31,'13 weeks CF'!$C$9:$C$59,0))</f>
        <v>Payroll</v>
      </c>
      <c r="E31" s="3">
        <v>30</v>
      </c>
      <c r="F31" s="2">
        <v>45219</v>
      </c>
      <c r="G31" s="3">
        <v>79732</v>
      </c>
      <c r="H31" s="4" t="s">
        <v>7</v>
      </c>
      <c r="I31" s="5">
        <v>-1260</v>
      </c>
      <c r="J31" s="5">
        <v>377990</v>
      </c>
    </row>
    <row r="32" spans="1:10" x14ac:dyDescent="0.3">
      <c r="A32" s="11">
        <f t="shared" si="0"/>
        <v>45220</v>
      </c>
      <c r="B32" t="str">
        <f t="shared" si="1"/>
        <v>31CHECK</v>
      </c>
      <c r="C32" t="str" cm="1">
        <f t="array" ref="C32">IFERROR(INDEX(Table1[Category],MATCH(B32,Table1[Unique ID Matches],0)),INDEX(Table2[Category],MATCH(TRUE,ISNUMBER(SEARCH(Table2[Unique ID Contains],B32)),0)))</f>
        <v>Payroll</v>
      </c>
      <c r="D32" t="str">
        <f>INDEX('13 weeks CF'!$C$9:$C$59,MATCH(C32,'13 weeks CF'!$C$9:$C$59,0))</f>
        <v>Payroll</v>
      </c>
      <c r="E32" s="3">
        <v>31</v>
      </c>
      <c r="F32" s="2">
        <v>45219</v>
      </c>
      <c r="G32" s="3">
        <v>79734</v>
      </c>
      <c r="H32" s="4" t="s">
        <v>7</v>
      </c>
      <c r="I32" s="5">
        <v>-1310</v>
      </c>
      <c r="J32" s="5">
        <v>376680</v>
      </c>
    </row>
    <row r="33" spans="1:10" x14ac:dyDescent="0.3">
      <c r="A33" s="11">
        <f t="shared" si="0"/>
        <v>45220</v>
      </c>
      <c r="B33" t="str">
        <f t="shared" si="1"/>
        <v>32CHECK</v>
      </c>
      <c r="C33" t="str" cm="1">
        <f t="array" ref="C33">IFERROR(INDEX(Table1[Category],MATCH(B33,Table1[Unique ID Matches],0)),INDEX(Table2[Category],MATCH(TRUE,ISNUMBER(SEARCH(Table2[Unique ID Contains],B33)),0)))</f>
        <v>Payroll</v>
      </c>
      <c r="D33" t="str">
        <f>INDEX('13 weeks CF'!$C$9:$C$59,MATCH(C33,'13 weeks CF'!$C$9:$C$59,0))</f>
        <v>Payroll</v>
      </c>
      <c r="E33" s="3">
        <v>32</v>
      </c>
      <c r="F33" s="2">
        <v>45219</v>
      </c>
      <c r="G33" s="3">
        <v>79736</v>
      </c>
      <c r="H33" s="4" t="s">
        <v>7</v>
      </c>
      <c r="I33" s="5">
        <v>-1020</v>
      </c>
      <c r="J33" s="5">
        <v>375660</v>
      </c>
    </row>
    <row r="34" spans="1:10" x14ac:dyDescent="0.3">
      <c r="A34" s="11">
        <f t="shared" si="0"/>
        <v>45220</v>
      </c>
      <c r="B34" t="str">
        <f t="shared" si="1"/>
        <v>33CHECK</v>
      </c>
      <c r="C34" t="str" cm="1">
        <f t="array" ref="C34">IFERROR(INDEX(Table1[Category],MATCH(B34,Table1[Unique ID Matches],0)),INDEX(Table2[Category],MATCH(TRUE,ISNUMBER(SEARCH(Table2[Unique ID Contains],B34)),0)))</f>
        <v>Payroll</v>
      </c>
      <c r="D34" t="str">
        <f>INDEX('13 weeks CF'!$C$9:$C$59,MATCH(C34,'13 weeks CF'!$C$9:$C$59,0))</f>
        <v>Payroll</v>
      </c>
      <c r="E34" s="3">
        <v>33</v>
      </c>
      <c r="F34" s="2">
        <v>45219</v>
      </c>
      <c r="G34" s="3">
        <v>79738</v>
      </c>
      <c r="H34" s="4" t="s">
        <v>7</v>
      </c>
      <c r="I34" s="5">
        <v>-1280</v>
      </c>
      <c r="J34" s="5">
        <v>374380</v>
      </c>
    </row>
    <row r="35" spans="1:10" x14ac:dyDescent="0.3">
      <c r="A35" s="11">
        <f t="shared" si="0"/>
        <v>45220</v>
      </c>
      <c r="B35" t="str">
        <f t="shared" si="1"/>
        <v>34CHECK</v>
      </c>
      <c r="C35" t="str" cm="1">
        <f t="array" ref="C35">IFERROR(INDEX(Table1[Category],MATCH(B35,Table1[Unique ID Matches],0)),INDEX(Table2[Category],MATCH(TRUE,ISNUMBER(SEARCH(Table2[Unique ID Contains],B35)),0)))</f>
        <v>Payroll</v>
      </c>
      <c r="D35" t="str">
        <f>INDEX('13 weeks CF'!$C$9:$C$59,MATCH(C35,'13 weeks CF'!$C$9:$C$59,0))</f>
        <v>Payroll</v>
      </c>
      <c r="E35" s="3">
        <v>34</v>
      </c>
      <c r="F35" s="2">
        <v>45219</v>
      </c>
      <c r="G35" s="3">
        <v>79739</v>
      </c>
      <c r="H35" s="4" t="s">
        <v>7</v>
      </c>
      <c r="I35" s="5">
        <v>-1550</v>
      </c>
      <c r="J35" s="5">
        <v>372830</v>
      </c>
    </row>
    <row r="36" spans="1:10" x14ac:dyDescent="0.3">
      <c r="A36" s="11">
        <f t="shared" si="0"/>
        <v>45220</v>
      </c>
      <c r="B36" t="str">
        <f t="shared" si="1"/>
        <v>35CHECK</v>
      </c>
      <c r="C36" t="str" cm="1">
        <f t="array" ref="C36">IFERROR(INDEX(Table1[Category],MATCH(B36,Table1[Unique ID Matches],0)),INDEX(Table2[Category],MATCH(TRUE,ISNUMBER(SEARCH(Table2[Unique ID Contains],B36)),0)))</f>
        <v>Payroll</v>
      </c>
      <c r="D36" t="str">
        <f>INDEX('13 weeks CF'!$C$9:$C$59,MATCH(C36,'13 weeks CF'!$C$9:$C$59,0))</f>
        <v>Payroll</v>
      </c>
      <c r="E36" s="3">
        <v>35</v>
      </c>
      <c r="F36" s="2">
        <v>45219</v>
      </c>
      <c r="G36" s="3">
        <v>79740</v>
      </c>
      <c r="H36" s="4" t="s">
        <v>7</v>
      </c>
      <c r="I36" s="5">
        <v>-1900</v>
      </c>
      <c r="J36" s="5">
        <v>370930</v>
      </c>
    </row>
    <row r="37" spans="1:10" x14ac:dyDescent="0.3">
      <c r="A37" s="11">
        <f t="shared" si="0"/>
        <v>45220</v>
      </c>
      <c r="B37" t="str">
        <f t="shared" si="1"/>
        <v>36CHECK</v>
      </c>
      <c r="C37" t="str" cm="1">
        <f t="array" ref="C37">IFERROR(INDEX(Table1[Category],MATCH(B37,Table1[Unique ID Matches],0)),INDEX(Table2[Category],MATCH(TRUE,ISNUMBER(SEARCH(Table2[Unique ID Contains],B37)),0)))</f>
        <v>Payroll</v>
      </c>
      <c r="D37" t="str">
        <f>INDEX('13 weeks CF'!$C$9:$C$59,MATCH(C37,'13 weeks CF'!$C$9:$C$59,0))</f>
        <v>Payroll</v>
      </c>
      <c r="E37" s="3">
        <v>36</v>
      </c>
      <c r="F37" s="2">
        <v>45219</v>
      </c>
      <c r="G37" s="3">
        <v>79741</v>
      </c>
      <c r="H37" s="4" t="s">
        <v>7</v>
      </c>
      <c r="I37" s="5">
        <v>-1070</v>
      </c>
      <c r="J37" s="5">
        <v>369860</v>
      </c>
    </row>
    <row r="38" spans="1:10" x14ac:dyDescent="0.3">
      <c r="A38" s="11">
        <f t="shared" si="0"/>
        <v>45220</v>
      </c>
      <c r="B38" t="str">
        <f t="shared" si="1"/>
        <v>37CHECK</v>
      </c>
      <c r="C38" t="str" cm="1">
        <f t="array" ref="C38">IFERROR(INDEX(Table1[Category],MATCH(B38,Table1[Unique ID Matches],0)),INDEX(Table2[Category],MATCH(TRUE,ISNUMBER(SEARCH(Table2[Unique ID Contains],B38)),0)))</f>
        <v>Payroll</v>
      </c>
      <c r="D38" t="str">
        <f>INDEX('13 weeks CF'!$C$9:$C$59,MATCH(C38,'13 weeks CF'!$C$9:$C$59,0))</f>
        <v>Payroll</v>
      </c>
      <c r="E38" s="3">
        <v>37</v>
      </c>
      <c r="F38" s="2">
        <v>45219</v>
      </c>
      <c r="G38" s="3">
        <v>79743</v>
      </c>
      <c r="H38" s="4" t="s">
        <v>7</v>
      </c>
      <c r="I38" s="5">
        <v>-1240</v>
      </c>
      <c r="J38" s="5">
        <v>368620</v>
      </c>
    </row>
    <row r="39" spans="1:10" x14ac:dyDescent="0.3">
      <c r="A39" s="11">
        <f t="shared" si="0"/>
        <v>45220</v>
      </c>
      <c r="B39" t="str">
        <f t="shared" si="1"/>
        <v>38CHECK</v>
      </c>
      <c r="C39" t="str" cm="1">
        <f t="array" ref="C39">IFERROR(INDEX(Table1[Category],MATCH(B39,Table1[Unique ID Matches],0)),INDEX(Table2[Category],MATCH(TRUE,ISNUMBER(SEARCH(Table2[Unique ID Contains],B39)),0)))</f>
        <v>Payroll</v>
      </c>
      <c r="D39" t="str">
        <f>INDEX('13 weeks CF'!$C$9:$C$59,MATCH(C39,'13 weeks CF'!$C$9:$C$59,0))</f>
        <v>Payroll</v>
      </c>
      <c r="E39" s="3">
        <v>38</v>
      </c>
      <c r="F39" s="2">
        <v>45219</v>
      </c>
      <c r="G39" s="3">
        <v>79744</v>
      </c>
      <c r="H39" s="4" t="s">
        <v>7</v>
      </c>
      <c r="I39" s="5">
        <v>-1140</v>
      </c>
      <c r="J39" s="5">
        <v>367480</v>
      </c>
    </row>
    <row r="40" spans="1:10" x14ac:dyDescent="0.3">
      <c r="A40" s="11">
        <f t="shared" si="0"/>
        <v>45220</v>
      </c>
      <c r="B40" t="str">
        <f t="shared" si="1"/>
        <v>39CHECK</v>
      </c>
      <c r="C40" t="str" cm="1">
        <f t="array" ref="C40">IFERROR(INDEX(Table1[Category],MATCH(B40,Table1[Unique ID Matches],0)),INDEX(Table2[Category],MATCH(TRUE,ISNUMBER(SEARCH(Table2[Unique ID Contains],B40)),0)))</f>
        <v>Payroll</v>
      </c>
      <c r="D40" t="str">
        <f>INDEX('13 weeks CF'!$C$9:$C$59,MATCH(C40,'13 weeks CF'!$C$9:$C$59,0))</f>
        <v>Payroll</v>
      </c>
      <c r="E40" s="3">
        <v>39</v>
      </c>
      <c r="F40" s="2">
        <v>45219</v>
      </c>
      <c r="G40" s="3">
        <v>79745</v>
      </c>
      <c r="H40" s="4" t="s">
        <v>7</v>
      </c>
      <c r="I40" s="5">
        <v>-970</v>
      </c>
      <c r="J40" s="5">
        <v>366510</v>
      </c>
    </row>
    <row r="41" spans="1:10" x14ac:dyDescent="0.3">
      <c r="A41" s="11">
        <f t="shared" si="0"/>
        <v>45220</v>
      </c>
      <c r="B41" t="str">
        <f t="shared" si="1"/>
        <v>40CHECK</v>
      </c>
      <c r="C41" t="str" cm="1">
        <f t="array" ref="C41">IFERROR(INDEX(Table1[Category],MATCH(B41,Table1[Unique ID Matches],0)),INDEX(Table2[Category],MATCH(TRUE,ISNUMBER(SEARCH(Table2[Unique ID Contains],B41)),0)))</f>
        <v>Payroll</v>
      </c>
      <c r="D41" t="str">
        <f>INDEX('13 weeks CF'!$C$9:$C$59,MATCH(C41,'13 weeks CF'!$C$9:$C$59,0))</f>
        <v>Payroll</v>
      </c>
      <c r="E41" s="3">
        <v>40</v>
      </c>
      <c r="F41" s="2">
        <v>45219</v>
      </c>
      <c r="G41" s="3">
        <v>79747</v>
      </c>
      <c r="H41" s="4" t="s">
        <v>7</v>
      </c>
      <c r="I41" s="5">
        <v>-1130</v>
      </c>
      <c r="J41" s="5">
        <v>365380</v>
      </c>
    </row>
    <row r="42" spans="1:10" x14ac:dyDescent="0.3">
      <c r="A42" s="11">
        <f t="shared" si="0"/>
        <v>45220</v>
      </c>
      <c r="B42" t="str">
        <f t="shared" si="1"/>
        <v>41CHECK</v>
      </c>
      <c r="C42" t="str" cm="1">
        <f t="array" ref="C42">IFERROR(INDEX(Table1[Category],MATCH(B42,Table1[Unique ID Matches],0)),INDEX(Table2[Category],MATCH(TRUE,ISNUMBER(SEARCH(Table2[Unique ID Contains],B42)),0)))</f>
        <v>Payroll</v>
      </c>
      <c r="D42" t="str">
        <f>INDEX('13 weeks CF'!$C$9:$C$59,MATCH(C42,'13 weeks CF'!$C$9:$C$59,0))</f>
        <v>Payroll</v>
      </c>
      <c r="E42" s="3">
        <v>41</v>
      </c>
      <c r="F42" s="2">
        <v>45219</v>
      </c>
      <c r="G42" s="3">
        <v>79748</v>
      </c>
      <c r="H42" s="4" t="s">
        <v>7</v>
      </c>
      <c r="I42" s="5">
        <v>-1150</v>
      </c>
      <c r="J42" s="5">
        <v>364230</v>
      </c>
    </row>
    <row r="43" spans="1:10" x14ac:dyDescent="0.3">
      <c r="A43" s="11">
        <f t="shared" si="0"/>
        <v>45220</v>
      </c>
      <c r="B43" t="str">
        <f t="shared" si="1"/>
        <v>42CHECK</v>
      </c>
      <c r="C43" t="str" cm="1">
        <f t="array" ref="C43">IFERROR(INDEX(Table1[Category],MATCH(B43,Table1[Unique ID Matches],0)),INDEX(Table2[Category],MATCH(TRUE,ISNUMBER(SEARCH(Table2[Unique ID Contains],B43)),0)))</f>
        <v>Payroll</v>
      </c>
      <c r="D43" t="str">
        <f>INDEX('13 weeks CF'!$C$9:$C$59,MATCH(C43,'13 weeks CF'!$C$9:$C$59,0))</f>
        <v>Payroll</v>
      </c>
      <c r="E43" s="3">
        <v>42</v>
      </c>
      <c r="F43" s="2">
        <v>45219</v>
      </c>
      <c r="G43" s="3">
        <v>79749</v>
      </c>
      <c r="H43" s="4" t="s">
        <v>7</v>
      </c>
      <c r="I43" s="5">
        <v>-1250</v>
      </c>
      <c r="J43" s="5">
        <v>362980</v>
      </c>
    </row>
    <row r="44" spans="1:10" x14ac:dyDescent="0.3">
      <c r="A44" s="11">
        <f t="shared" si="0"/>
        <v>45220</v>
      </c>
      <c r="B44" t="str">
        <f t="shared" si="1"/>
        <v>43CHECK</v>
      </c>
      <c r="C44" t="str" cm="1">
        <f t="array" ref="C44">IFERROR(INDEX(Table1[Category],MATCH(B44,Table1[Unique ID Matches],0)),INDEX(Table2[Category],MATCH(TRUE,ISNUMBER(SEARCH(Table2[Unique ID Contains],B44)),0)))</f>
        <v>Payroll</v>
      </c>
      <c r="D44" t="str">
        <f>INDEX('13 weeks CF'!$C$9:$C$59,MATCH(C44,'13 weeks CF'!$C$9:$C$59,0))</f>
        <v>Payroll</v>
      </c>
      <c r="E44" s="3">
        <v>43</v>
      </c>
      <c r="F44" s="2">
        <v>45219</v>
      </c>
      <c r="G44" s="3">
        <v>79750</v>
      </c>
      <c r="H44" s="4" t="s">
        <v>7</v>
      </c>
      <c r="I44" s="5">
        <v>-1760</v>
      </c>
      <c r="J44" s="5">
        <v>361220</v>
      </c>
    </row>
    <row r="45" spans="1:10" x14ac:dyDescent="0.3">
      <c r="A45" s="11">
        <f t="shared" si="0"/>
        <v>45220</v>
      </c>
      <c r="B45" t="str">
        <f t="shared" si="1"/>
        <v>44CHECK</v>
      </c>
      <c r="C45" t="str" cm="1">
        <f t="array" ref="C45">IFERROR(INDEX(Table1[Category],MATCH(B45,Table1[Unique ID Matches],0)),INDEX(Table2[Category],MATCH(TRUE,ISNUMBER(SEARCH(Table2[Unique ID Contains],B45)),0)))</f>
        <v>Payroll</v>
      </c>
      <c r="D45" t="str">
        <f>INDEX('13 weeks CF'!$C$9:$C$59,MATCH(C45,'13 weeks CF'!$C$9:$C$59,0))</f>
        <v>Payroll</v>
      </c>
      <c r="E45" s="3">
        <v>44</v>
      </c>
      <c r="F45" s="2">
        <v>45219</v>
      </c>
      <c r="G45" s="3">
        <v>79751</v>
      </c>
      <c r="H45" s="4" t="s">
        <v>7</v>
      </c>
      <c r="I45" s="5">
        <v>-1280</v>
      </c>
      <c r="J45" s="5">
        <v>359940</v>
      </c>
    </row>
    <row r="46" spans="1:10" x14ac:dyDescent="0.3">
      <c r="A46" s="11">
        <f t="shared" si="0"/>
        <v>45220</v>
      </c>
      <c r="B46" t="str">
        <f t="shared" si="1"/>
        <v>45CHECK</v>
      </c>
      <c r="C46" t="str" cm="1">
        <f t="array" ref="C46">IFERROR(INDEX(Table1[Category],MATCH(B46,Table1[Unique ID Matches],0)),INDEX(Table2[Category],MATCH(TRUE,ISNUMBER(SEARCH(Table2[Unique ID Contains],B46)),0)))</f>
        <v>Payroll</v>
      </c>
      <c r="D46" t="str">
        <f>INDEX('13 weeks CF'!$C$9:$C$59,MATCH(C46,'13 weeks CF'!$C$9:$C$59,0))</f>
        <v>Payroll</v>
      </c>
      <c r="E46" s="3">
        <v>45</v>
      </c>
      <c r="F46" s="2">
        <v>45219</v>
      </c>
      <c r="G46" s="3">
        <v>79752</v>
      </c>
      <c r="H46" s="4" t="s">
        <v>7</v>
      </c>
      <c r="I46" s="5">
        <v>-1450</v>
      </c>
      <c r="J46" s="5">
        <v>358490</v>
      </c>
    </row>
    <row r="47" spans="1:10" x14ac:dyDescent="0.3">
      <c r="A47" s="11">
        <f t="shared" si="0"/>
        <v>45220</v>
      </c>
      <c r="B47" t="str">
        <f t="shared" si="1"/>
        <v>46CHECK</v>
      </c>
      <c r="C47" t="str" cm="1">
        <f t="array" ref="C47">IFERROR(INDEX(Table1[Category],MATCH(B47,Table1[Unique ID Matches],0)),INDEX(Table2[Category],MATCH(TRUE,ISNUMBER(SEARCH(Table2[Unique ID Contains],B47)),0)))</f>
        <v>Payroll</v>
      </c>
      <c r="D47" t="str">
        <f>INDEX('13 weeks CF'!$C$9:$C$59,MATCH(C47,'13 weeks CF'!$C$9:$C$59,0))</f>
        <v>Payroll</v>
      </c>
      <c r="E47" s="3">
        <v>46</v>
      </c>
      <c r="F47" s="2">
        <v>45219</v>
      </c>
      <c r="G47" s="3">
        <v>79753</v>
      </c>
      <c r="H47" s="4" t="s">
        <v>7</v>
      </c>
      <c r="I47" s="5">
        <v>-1300</v>
      </c>
      <c r="J47" s="5">
        <v>357190</v>
      </c>
    </row>
    <row r="48" spans="1:10" x14ac:dyDescent="0.3">
      <c r="A48" s="11">
        <f t="shared" si="0"/>
        <v>45220</v>
      </c>
      <c r="B48" t="str">
        <f t="shared" si="1"/>
        <v>47CHECK</v>
      </c>
      <c r="C48" t="str" cm="1">
        <f t="array" ref="C48">IFERROR(INDEX(Table1[Category],MATCH(B48,Table1[Unique ID Matches],0)),INDEX(Table2[Category],MATCH(TRUE,ISNUMBER(SEARCH(Table2[Unique ID Contains],B48)),0)))</f>
        <v>Payroll</v>
      </c>
      <c r="D48" t="str">
        <f>INDEX('13 weeks CF'!$C$9:$C$59,MATCH(C48,'13 weeks CF'!$C$9:$C$59,0))</f>
        <v>Payroll</v>
      </c>
      <c r="E48" s="3">
        <v>47</v>
      </c>
      <c r="F48" s="2">
        <v>45219</v>
      </c>
      <c r="G48" s="3">
        <v>79755</v>
      </c>
      <c r="H48" s="4" t="s">
        <v>7</v>
      </c>
      <c r="I48" s="5">
        <v>-1160</v>
      </c>
      <c r="J48" s="5">
        <v>356030</v>
      </c>
    </row>
    <row r="49" spans="1:10" x14ac:dyDescent="0.3">
      <c r="A49" s="11">
        <f t="shared" si="0"/>
        <v>45220</v>
      </c>
      <c r="B49" t="str">
        <f t="shared" si="1"/>
        <v>48CHECK</v>
      </c>
      <c r="C49" t="str" cm="1">
        <f t="array" ref="C49">IFERROR(INDEX(Table1[Category],MATCH(B49,Table1[Unique ID Matches],0)),INDEX(Table2[Category],MATCH(TRUE,ISNUMBER(SEARCH(Table2[Unique ID Contains],B49)),0)))</f>
        <v>Payroll</v>
      </c>
      <c r="D49" t="str">
        <f>INDEX('13 weeks CF'!$C$9:$C$59,MATCH(C49,'13 weeks CF'!$C$9:$C$59,0))</f>
        <v>Payroll</v>
      </c>
      <c r="E49" s="3">
        <v>48</v>
      </c>
      <c r="F49" s="2">
        <v>45219</v>
      </c>
      <c r="G49" s="3">
        <v>79756</v>
      </c>
      <c r="H49" s="4" t="s">
        <v>7</v>
      </c>
      <c r="I49" s="5">
        <v>-1150</v>
      </c>
      <c r="J49" s="5">
        <v>354880</v>
      </c>
    </row>
    <row r="50" spans="1:10" x14ac:dyDescent="0.3">
      <c r="A50" s="11">
        <f t="shared" si="0"/>
        <v>45220</v>
      </c>
      <c r="B50" t="str">
        <f t="shared" si="1"/>
        <v>49CHECK</v>
      </c>
      <c r="C50" t="str" cm="1">
        <f t="array" ref="C50">IFERROR(INDEX(Table1[Category],MATCH(B50,Table1[Unique ID Matches],0)),INDEX(Table2[Category],MATCH(TRUE,ISNUMBER(SEARCH(Table2[Unique ID Contains],B50)),0)))</f>
        <v>Payroll</v>
      </c>
      <c r="D50" t="str">
        <f>INDEX('13 weeks CF'!$C$9:$C$59,MATCH(C50,'13 weeks CF'!$C$9:$C$59,0))</f>
        <v>Payroll</v>
      </c>
      <c r="E50" s="3">
        <v>49</v>
      </c>
      <c r="F50" s="2">
        <v>45219</v>
      </c>
      <c r="G50" s="3">
        <v>79757</v>
      </c>
      <c r="H50" s="4" t="s">
        <v>7</v>
      </c>
      <c r="I50" s="5">
        <v>-1380</v>
      </c>
      <c r="J50" s="5">
        <v>353500</v>
      </c>
    </row>
    <row r="51" spans="1:10" x14ac:dyDescent="0.3">
      <c r="A51" s="11">
        <f t="shared" si="0"/>
        <v>45220</v>
      </c>
      <c r="B51" t="str">
        <f t="shared" si="1"/>
        <v>50CHECK</v>
      </c>
      <c r="C51" t="str" cm="1">
        <f t="array" ref="C51">IFERROR(INDEX(Table1[Category],MATCH(B51,Table1[Unique ID Matches],0)),INDEX(Table2[Category],MATCH(TRUE,ISNUMBER(SEARCH(Table2[Unique ID Contains],B51)),0)))</f>
        <v>Payroll</v>
      </c>
      <c r="D51" t="str">
        <f>INDEX('13 weeks CF'!$C$9:$C$59,MATCH(C51,'13 weeks CF'!$C$9:$C$59,0))</f>
        <v>Payroll</v>
      </c>
      <c r="E51" s="3">
        <v>50</v>
      </c>
      <c r="F51" s="2">
        <v>45219</v>
      </c>
      <c r="G51" s="3">
        <v>79758</v>
      </c>
      <c r="H51" s="4" t="s">
        <v>7</v>
      </c>
      <c r="I51" s="5">
        <v>-1510</v>
      </c>
      <c r="J51" s="5">
        <v>351990</v>
      </c>
    </row>
    <row r="52" spans="1:10" x14ac:dyDescent="0.3">
      <c r="A52" s="11">
        <f t="shared" si="0"/>
        <v>45220</v>
      </c>
      <c r="B52" t="str">
        <f t="shared" si="1"/>
        <v>51CHECK</v>
      </c>
      <c r="C52" t="str" cm="1">
        <f t="array" ref="C52">IFERROR(INDEX(Table1[Category],MATCH(B52,Table1[Unique ID Matches],0)),INDEX(Table2[Category],MATCH(TRUE,ISNUMBER(SEARCH(Table2[Unique ID Contains],B52)),0)))</f>
        <v>Payroll</v>
      </c>
      <c r="D52" t="str">
        <f>INDEX('13 weeks CF'!$C$9:$C$59,MATCH(C52,'13 weeks CF'!$C$9:$C$59,0))</f>
        <v>Payroll</v>
      </c>
      <c r="E52" s="3">
        <v>51</v>
      </c>
      <c r="F52" s="2">
        <v>45219</v>
      </c>
      <c r="G52" s="3">
        <v>79759</v>
      </c>
      <c r="H52" s="4" t="s">
        <v>7</v>
      </c>
      <c r="I52" s="5">
        <v>-1180</v>
      </c>
      <c r="J52" s="5">
        <v>350810</v>
      </c>
    </row>
    <row r="53" spans="1:10" x14ac:dyDescent="0.3">
      <c r="A53" s="11">
        <f t="shared" si="0"/>
        <v>45220</v>
      </c>
      <c r="B53" t="str">
        <f t="shared" si="1"/>
        <v>52CHECK</v>
      </c>
      <c r="C53" t="str" cm="1">
        <f t="array" ref="C53">IFERROR(INDEX(Table1[Category],MATCH(B53,Table1[Unique ID Matches],0)),INDEX(Table2[Category],MATCH(TRUE,ISNUMBER(SEARCH(Table2[Unique ID Contains],B53)),0)))</f>
        <v>Payroll</v>
      </c>
      <c r="D53" t="str">
        <f>INDEX('13 weeks CF'!$C$9:$C$59,MATCH(C53,'13 weeks CF'!$C$9:$C$59,0))</f>
        <v>Payroll</v>
      </c>
      <c r="E53" s="3">
        <v>52</v>
      </c>
      <c r="F53" s="2">
        <v>45219</v>
      </c>
      <c r="G53" s="3">
        <v>79760</v>
      </c>
      <c r="H53" s="4" t="s">
        <v>7</v>
      </c>
      <c r="I53" s="5">
        <v>-1020</v>
      </c>
      <c r="J53" s="5">
        <v>349790</v>
      </c>
    </row>
    <row r="54" spans="1:10" x14ac:dyDescent="0.3">
      <c r="A54" s="11">
        <f t="shared" si="0"/>
        <v>45220</v>
      </c>
      <c r="B54" t="str">
        <f t="shared" si="1"/>
        <v>53CHECK</v>
      </c>
      <c r="C54" t="str" cm="1">
        <f t="array" ref="C54">IFERROR(INDEX(Table1[Category],MATCH(B54,Table1[Unique ID Matches],0)),INDEX(Table2[Category],MATCH(TRUE,ISNUMBER(SEARCH(Table2[Unique ID Contains],B54)),0)))</f>
        <v>Payroll</v>
      </c>
      <c r="D54" t="str">
        <f>INDEX('13 weeks CF'!$C$9:$C$59,MATCH(C54,'13 weeks CF'!$C$9:$C$59,0))</f>
        <v>Payroll</v>
      </c>
      <c r="E54" s="3">
        <v>53</v>
      </c>
      <c r="F54" s="2">
        <v>45219</v>
      </c>
      <c r="G54" s="3">
        <v>79761</v>
      </c>
      <c r="H54" s="4" t="s">
        <v>7</v>
      </c>
      <c r="I54" s="5">
        <v>-1280</v>
      </c>
      <c r="J54" s="5">
        <v>348510</v>
      </c>
    </row>
    <row r="55" spans="1:10" x14ac:dyDescent="0.3">
      <c r="A55" s="11">
        <f t="shared" si="0"/>
        <v>45220</v>
      </c>
      <c r="B55" t="str">
        <f t="shared" si="1"/>
        <v>54CHECK</v>
      </c>
      <c r="C55" t="str" cm="1">
        <f t="array" ref="C55">IFERROR(INDEX(Table1[Category],MATCH(B55,Table1[Unique ID Matches],0)),INDEX(Table2[Category],MATCH(TRUE,ISNUMBER(SEARCH(Table2[Unique ID Contains],B55)),0)))</f>
        <v>Payroll</v>
      </c>
      <c r="D55" t="str">
        <f>INDEX('13 weeks CF'!$C$9:$C$59,MATCH(C55,'13 weeks CF'!$C$9:$C$59,0))</f>
        <v>Payroll</v>
      </c>
      <c r="E55" s="3">
        <v>54</v>
      </c>
      <c r="F55" s="2">
        <v>45219</v>
      </c>
      <c r="G55" s="3">
        <v>79762</v>
      </c>
      <c r="H55" s="4" t="s">
        <v>7</v>
      </c>
      <c r="I55" s="5">
        <v>-1890</v>
      </c>
      <c r="J55" s="5">
        <v>346620</v>
      </c>
    </row>
    <row r="56" spans="1:10" x14ac:dyDescent="0.3">
      <c r="A56" s="11">
        <f t="shared" si="0"/>
        <v>45220</v>
      </c>
      <c r="B56" t="str">
        <f t="shared" si="1"/>
        <v>55CHECK</v>
      </c>
      <c r="C56" t="str" cm="1">
        <f t="array" ref="C56">IFERROR(INDEX(Table1[Category],MATCH(B56,Table1[Unique ID Matches],0)),INDEX(Table2[Category],MATCH(TRUE,ISNUMBER(SEARCH(Table2[Unique ID Contains],B56)),0)))</f>
        <v>Payroll</v>
      </c>
      <c r="D56" t="str">
        <f>INDEX('13 weeks CF'!$C$9:$C$59,MATCH(C56,'13 weeks CF'!$C$9:$C$59,0))</f>
        <v>Payroll</v>
      </c>
      <c r="E56" s="3">
        <v>55</v>
      </c>
      <c r="F56" s="2">
        <v>45219</v>
      </c>
      <c r="G56" s="3">
        <v>79763</v>
      </c>
      <c r="H56" s="4" t="s">
        <v>7</v>
      </c>
      <c r="I56" s="5">
        <v>-1040</v>
      </c>
      <c r="J56" s="5">
        <v>345580</v>
      </c>
    </row>
    <row r="57" spans="1:10" x14ac:dyDescent="0.3">
      <c r="A57" s="11">
        <f t="shared" si="0"/>
        <v>45227</v>
      </c>
      <c r="B57" t="str">
        <f t="shared" si="1"/>
        <v>56WEB AUTHORIZED PMT KRYPTONIX</v>
      </c>
      <c r="C57" t="str" cm="1">
        <f t="array" ref="C57">IFERROR(INDEX(Table1[Category],MATCH(B57,Table1[Unique ID Matches],0)),INDEX(Table2[Category],MATCH(TRUE,ISNUMBER(SEARCH(Table2[Unique ID Contains],B57)),0)))</f>
        <v>Dues &amp; Subscriptions</v>
      </c>
      <c r="D57" t="str">
        <f>INDEX('13 weeks CF'!$C$9:$C$59,MATCH(C57,'13 weeks CF'!$C$9:$C$59,0))</f>
        <v>Dues &amp; Subscriptions</v>
      </c>
      <c r="E57" s="3">
        <v>56</v>
      </c>
      <c r="F57" s="2">
        <v>45222</v>
      </c>
      <c r="G57" s="3" t="s">
        <v>5</v>
      </c>
      <c r="H57" s="4" t="s">
        <v>6</v>
      </c>
      <c r="I57" s="5">
        <v>-80</v>
      </c>
      <c r="J57" s="5">
        <v>345500</v>
      </c>
    </row>
    <row r="58" spans="1:10" x14ac:dyDescent="0.3">
      <c r="A58" s="11">
        <f t="shared" si="0"/>
        <v>45227</v>
      </c>
      <c r="B58" t="str">
        <f t="shared" si="1"/>
        <v>57WEB AUTHORIZED PMT KRYPTONIX</v>
      </c>
      <c r="C58" t="str" cm="1">
        <f t="array" ref="C58">IFERROR(INDEX(Table1[Category],MATCH(B58,Table1[Unique ID Matches],0)),INDEX(Table2[Category],MATCH(TRUE,ISNUMBER(SEARCH(Table2[Unique ID Contains],B58)),0)))</f>
        <v>Dues &amp; Subscriptions</v>
      </c>
      <c r="D58" t="str">
        <f>INDEX('13 weeks CF'!$C$9:$C$59,MATCH(C58,'13 weeks CF'!$C$9:$C$59,0))</f>
        <v>Dues &amp; Subscriptions</v>
      </c>
      <c r="E58" s="3">
        <v>57</v>
      </c>
      <c r="F58" s="2">
        <v>45222</v>
      </c>
      <c r="G58" s="3" t="s">
        <v>5</v>
      </c>
      <c r="H58" s="4" t="s">
        <v>6</v>
      </c>
      <c r="I58" s="5">
        <v>-230</v>
      </c>
      <c r="J58" s="5">
        <v>345270</v>
      </c>
    </row>
    <row r="59" spans="1:10" x14ac:dyDescent="0.3">
      <c r="A59" s="11">
        <f t="shared" si="0"/>
        <v>45227</v>
      </c>
      <c r="B59" t="str">
        <f t="shared" si="1"/>
        <v>58CHECK</v>
      </c>
      <c r="C59" t="str" cm="1">
        <f t="array" ref="C59">IFERROR(INDEX(Table1[Category],MATCH(B59,Table1[Unique ID Matches],0)),INDEX(Table2[Category],MATCH(TRUE,ISNUMBER(SEARCH(Table2[Unique ID Contains],B59)),0)))</f>
        <v>Payroll</v>
      </c>
      <c r="D59" t="str">
        <f>INDEX('13 weeks CF'!$C$9:$C$59,MATCH(C59,'13 weeks CF'!$C$9:$C$59,0))</f>
        <v>Payroll</v>
      </c>
      <c r="E59" s="3">
        <v>58</v>
      </c>
      <c r="F59" s="2">
        <v>45222</v>
      </c>
      <c r="G59" s="3">
        <v>79725</v>
      </c>
      <c r="H59" s="4" t="s">
        <v>7</v>
      </c>
      <c r="I59" s="5">
        <v>-1210</v>
      </c>
      <c r="J59" s="5">
        <v>344060</v>
      </c>
    </row>
    <row r="60" spans="1:10" x14ac:dyDescent="0.3">
      <c r="A60" s="11">
        <f t="shared" si="0"/>
        <v>45227</v>
      </c>
      <c r="B60" t="str">
        <f t="shared" si="1"/>
        <v>59CHECK</v>
      </c>
      <c r="C60" t="str" cm="1">
        <f t="array" ref="C60">IFERROR(INDEX(Table1[Category],MATCH(B60,Table1[Unique ID Matches],0)),INDEX(Table2[Category],MATCH(TRUE,ISNUMBER(SEARCH(Table2[Unique ID Contains],B60)),0)))</f>
        <v>Payroll</v>
      </c>
      <c r="D60" t="str">
        <f>INDEX('13 weeks CF'!$C$9:$C$59,MATCH(C60,'13 weeks CF'!$C$9:$C$59,0))</f>
        <v>Payroll</v>
      </c>
      <c r="E60" s="3">
        <v>59</v>
      </c>
      <c r="F60" s="2">
        <v>45222</v>
      </c>
      <c r="G60" s="3">
        <v>79733</v>
      </c>
      <c r="H60" s="4" t="s">
        <v>7</v>
      </c>
      <c r="I60" s="5">
        <v>-1270</v>
      </c>
      <c r="J60" s="5">
        <v>342790</v>
      </c>
    </row>
    <row r="61" spans="1:10" x14ac:dyDescent="0.3">
      <c r="A61" s="11">
        <f t="shared" si="0"/>
        <v>45227</v>
      </c>
      <c r="B61" t="str">
        <f t="shared" si="1"/>
        <v>60CHECK</v>
      </c>
      <c r="C61" t="str" cm="1">
        <f t="array" ref="C61">IFERROR(INDEX(Table1[Category],MATCH(B61,Table1[Unique ID Matches],0)),INDEX(Table2[Category],MATCH(TRUE,ISNUMBER(SEARCH(Table2[Unique ID Contains],B61)),0)))</f>
        <v>Payroll</v>
      </c>
      <c r="D61" t="str">
        <f>INDEX('13 weeks CF'!$C$9:$C$59,MATCH(C61,'13 weeks CF'!$C$9:$C$59,0))</f>
        <v>Payroll</v>
      </c>
      <c r="E61" s="3">
        <v>60</v>
      </c>
      <c r="F61" s="2">
        <v>45222</v>
      </c>
      <c r="G61" s="3">
        <v>79737</v>
      </c>
      <c r="H61" s="4" t="s">
        <v>7</v>
      </c>
      <c r="I61" s="5">
        <v>-1340</v>
      </c>
      <c r="J61" s="5">
        <v>341450</v>
      </c>
    </row>
    <row r="62" spans="1:10" x14ac:dyDescent="0.3">
      <c r="A62" s="11">
        <f t="shared" si="0"/>
        <v>45227</v>
      </c>
      <c r="B62" t="str">
        <f t="shared" si="1"/>
        <v>61CHECK</v>
      </c>
      <c r="C62" t="str" cm="1">
        <f t="array" ref="C62">IFERROR(INDEX(Table1[Category],MATCH(B62,Table1[Unique ID Matches],0)),INDEX(Table2[Category],MATCH(TRUE,ISNUMBER(SEARCH(Table2[Unique ID Contains],B62)),0)))</f>
        <v>Payroll</v>
      </c>
      <c r="D62" t="str">
        <f>INDEX('13 weeks CF'!$C$9:$C$59,MATCH(C62,'13 weeks CF'!$C$9:$C$59,0))</f>
        <v>Payroll</v>
      </c>
      <c r="E62" s="3">
        <v>61</v>
      </c>
      <c r="F62" s="2">
        <v>45222</v>
      </c>
      <c r="G62" s="3">
        <v>79742</v>
      </c>
      <c r="H62" s="4" t="s">
        <v>7</v>
      </c>
      <c r="I62" s="5">
        <v>-1690</v>
      </c>
      <c r="J62" s="5">
        <v>339760</v>
      </c>
    </row>
    <row r="63" spans="1:10" x14ac:dyDescent="0.3">
      <c r="A63" s="11">
        <f t="shared" si="0"/>
        <v>45227</v>
      </c>
      <c r="B63" t="str">
        <f t="shared" si="1"/>
        <v>62CHECK</v>
      </c>
      <c r="C63" t="str" cm="1">
        <f t="array" ref="C63">IFERROR(INDEX(Table1[Category],MATCH(B63,Table1[Unique ID Matches],0)),INDEX(Table2[Category],MATCH(TRUE,ISNUMBER(SEARCH(Table2[Unique ID Contains],B63)),0)))</f>
        <v>Payroll</v>
      </c>
      <c r="D63" t="str">
        <f>INDEX('13 weeks CF'!$C$9:$C$59,MATCH(C63,'13 weeks CF'!$C$9:$C$59,0))</f>
        <v>Payroll</v>
      </c>
      <c r="E63" s="3">
        <v>62</v>
      </c>
      <c r="F63" s="2">
        <v>45222</v>
      </c>
      <c r="G63" s="3">
        <v>79746</v>
      </c>
      <c r="H63" s="4" t="s">
        <v>7</v>
      </c>
      <c r="I63" s="5">
        <v>-150</v>
      </c>
      <c r="J63" s="5">
        <v>339610</v>
      </c>
    </row>
    <row r="64" spans="1:10" x14ac:dyDescent="0.3">
      <c r="A64" s="11">
        <f t="shared" si="0"/>
        <v>45227</v>
      </c>
      <c r="B64" t="str">
        <f t="shared" si="1"/>
        <v>63CHECK</v>
      </c>
      <c r="C64" t="str" cm="1">
        <f t="array" ref="C64">IFERROR(INDEX(Table1[Category],MATCH(B64,Table1[Unique ID Matches],0)),INDEX(Table2[Category],MATCH(TRUE,ISNUMBER(SEARCH(Table2[Unique ID Contains],B64)),0)))</f>
        <v>Payroll</v>
      </c>
      <c r="D64" t="str">
        <f>INDEX('13 weeks CF'!$C$9:$C$59,MATCH(C64,'13 weeks CF'!$C$9:$C$59,0))</f>
        <v>Payroll</v>
      </c>
      <c r="E64" s="3">
        <v>63</v>
      </c>
      <c r="F64" s="2">
        <v>45222</v>
      </c>
      <c r="G64" s="3">
        <v>79765</v>
      </c>
      <c r="H64" s="4" t="s">
        <v>7</v>
      </c>
      <c r="I64" s="5">
        <v>-290</v>
      </c>
      <c r="J64" s="5">
        <v>339320</v>
      </c>
    </row>
    <row r="65" spans="1:10" x14ac:dyDescent="0.3">
      <c r="A65" s="11">
        <f t="shared" si="0"/>
        <v>45227</v>
      </c>
      <c r="B65" t="str">
        <f t="shared" si="1"/>
        <v>64ELECTRONIC WITHDRAWAL GLOWTECH</v>
      </c>
      <c r="C65" t="str" cm="1">
        <f t="array" ref="C65">IFERROR(INDEX(Table1[Category],MATCH(B65,Table1[Unique ID Matches],0)),INDEX(Table2[Category],MATCH(TRUE,ISNUMBER(SEARCH(Table2[Unique ID Contains],B65)),0)))</f>
        <v>Technology</v>
      </c>
      <c r="D65" t="str">
        <f>INDEX('13 weeks CF'!$C$9:$C$59,MATCH(C65,'13 weeks CF'!$C$9:$C$59,0))</f>
        <v>Technology</v>
      </c>
      <c r="E65" s="3">
        <v>64</v>
      </c>
      <c r="F65" s="2">
        <v>45223</v>
      </c>
      <c r="G65" s="3" t="s">
        <v>5</v>
      </c>
      <c r="H65" s="4" t="s">
        <v>10</v>
      </c>
      <c r="I65" s="5">
        <v>-1110</v>
      </c>
      <c r="J65" s="5">
        <v>338210</v>
      </c>
    </row>
    <row r="66" spans="1:10" x14ac:dyDescent="0.3">
      <c r="A66" s="11">
        <f t="shared" ref="A66:A129" si="2">F66+7-WEEKDAY(F66+7-7)</f>
        <v>45227</v>
      </c>
      <c r="B66" t="str">
        <f t="shared" ref="B66:B129" si="3">E66&amp;H66</f>
        <v>65CHECK</v>
      </c>
      <c r="C66" t="str" cm="1">
        <f t="array" ref="C66">IFERROR(INDEX(Table1[Category],MATCH(B66,Table1[Unique ID Matches],0)),INDEX(Table2[Category],MATCH(TRUE,ISNUMBER(SEARCH(Table2[Unique ID Contains],B66)),0)))</f>
        <v>Payroll</v>
      </c>
      <c r="D66" t="str">
        <f>INDEX('13 weeks CF'!$C$9:$C$59,MATCH(C66,'13 weeks CF'!$C$9:$C$59,0))</f>
        <v>Payroll</v>
      </c>
      <c r="E66" s="3">
        <v>65</v>
      </c>
      <c r="F66" s="2">
        <v>45223</v>
      </c>
      <c r="G66" s="3">
        <v>79768</v>
      </c>
      <c r="H66" s="4" t="s">
        <v>7</v>
      </c>
      <c r="I66" s="5">
        <v>-260</v>
      </c>
      <c r="J66" s="5">
        <v>337950</v>
      </c>
    </row>
    <row r="67" spans="1:10" x14ac:dyDescent="0.3">
      <c r="A67" s="11">
        <f t="shared" si="2"/>
        <v>45227</v>
      </c>
      <c r="B67" t="str">
        <f t="shared" si="3"/>
        <v>66ELECTRONIC WITHDRAWAL CRYONIX</v>
      </c>
      <c r="C67" t="str" cm="1">
        <f t="array" ref="C67">IFERROR(INDEX(Table1[Category],MATCH(B67,Table1[Unique ID Matches],0)),INDEX(Table2[Category],MATCH(TRUE,ISNUMBER(SEARCH(Table2[Unique ID Contains],B67)),0)))</f>
        <v>Other Operating Outflows</v>
      </c>
      <c r="D67" t="str">
        <f>INDEX('13 weeks CF'!$C$9:$C$59,MATCH(C67,'13 weeks CF'!$C$9:$C$59,0))</f>
        <v>Other Operating Outflows</v>
      </c>
      <c r="E67" s="3">
        <v>66</v>
      </c>
      <c r="F67" s="2">
        <v>45224</v>
      </c>
      <c r="G67" s="3" t="s">
        <v>5</v>
      </c>
      <c r="H67" s="4" t="s">
        <v>15</v>
      </c>
      <c r="I67" s="5">
        <v>-1270</v>
      </c>
      <c r="J67" s="5">
        <v>336680</v>
      </c>
    </row>
    <row r="68" spans="1:10" x14ac:dyDescent="0.3">
      <c r="A68" s="11">
        <f t="shared" si="2"/>
        <v>45227</v>
      </c>
      <c r="B68" t="str">
        <f t="shared" si="3"/>
        <v>67ELECTRONIC WITHDRAWAL PAYROLL</v>
      </c>
      <c r="C68" t="str" cm="1">
        <f t="array" ref="C68">IFERROR(INDEX(Table1[Category],MATCH(B68,Table1[Unique ID Matches],0)),INDEX(Table2[Category],MATCH(TRUE,ISNUMBER(SEARCH(Table2[Unique ID Contains],B68)),0)))</f>
        <v>Payroll</v>
      </c>
      <c r="D68" t="str">
        <f>INDEX('13 weeks CF'!$C$9:$C$59,MATCH(C68,'13 weeks CF'!$C$9:$C$59,0))</f>
        <v>Payroll</v>
      </c>
      <c r="E68" s="3">
        <v>67</v>
      </c>
      <c r="F68" s="2">
        <v>45225</v>
      </c>
      <c r="G68" s="3" t="s">
        <v>5</v>
      </c>
      <c r="H68" s="4" t="s">
        <v>13</v>
      </c>
      <c r="I68" s="5">
        <v>-22720</v>
      </c>
      <c r="J68" s="5">
        <v>313960</v>
      </c>
    </row>
    <row r="69" spans="1:10" x14ac:dyDescent="0.3">
      <c r="A69" s="11">
        <f t="shared" si="2"/>
        <v>45227</v>
      </c>
      <c r="B69" t="str">
        <f t="shared" si="3"/>
        <v>68ELECTRONIC WITHDRAWAL IRS</v>
      </c>
      <c r="C69" t="str" cm="1">
        <f t="array" ref="C69">IFERROR(INDEX(Table1[Category],MATCH(B69,Table1[Unique ID Matches],0)),INDEX(Table2[Category],MATCH(TRUE,ISNUMBER(SEARCH(Table2[Unique ID Contains],B69)),0)))</f>
        <v>Tax Distributions</v>
      </c>
      <c r="D69" t="str">
        <f>INDEX('13 weeks CF'!$C$9:$C$59,MATCH(C69,'13 weeks CF'!$C$9:$C$59,0))</f>
        <v>Tax Distributions</v>
      </c>
      <c r="E69" s="3">
        <v>68</v>
      </c>
      <c r="F69" s="2">
        <v>45225</v>
      </c>
      <c r="G69" s="3" t="s">
        <v>5</v>
      </c>
      <c r="H69" s="4" t="s">
        <v>12</v>
      </c>
      <c r="I69" s="5">
        <v>-17760</v>
      </c>
      <c r="J69" s="5">
        <v>296200</v>
      </c>
    </row>
    <row r="70" spans="1:10" x14ac:dyDescent="0.3">
      <c r="A70" s="11">
        <f t="shared" si="2"/>
        <v>45227</v>
      </c>
      <c r="B70" t="str">
        <f t="shared" si="3"/>
        <v>69CHECK</v>
      </c>
      <c r="C70" t="str" cm="1">
        <f t="array" ref="C70">IFERROR(INDEX(Table1[Category],MATCH(B70,Table1[Unique ID Matches],0)),INDEX(Table2[Category],MATCH(TRUE,ISNUMBER(SEARCH(Table2[Unique ID Contains],B70)),0)))</f>
        <v>Accounts Payable</v>
      </c>
      <c r="D70" t="str">
        <f>INDEX('13 weeks CF'!$C$9:$C$59,MATCH(C70,'13 weeks CF'!$C$9:$C$59,0))</f>
        <v>Accounts Payable</v>
      </c>
      <c r="E70" s="3">
        <v>69</v>
      </c>
      <c r="F70" s="2">
        <v>45225</v>
      </c>
      <c r="G70" s="3">
        <v>79805</v>
      </c>
      <c r="H70" s="4" t="s">
        <v>7</v>
      </c>
      <c r="I70" s="5">
        <v>-3580</v>
      </c>
      <c r="J70" s="5">
        <v>292620</v>
      </c>
    </row>
    <row r="71" spans="1:10" x14ac:dyDescent="0.3">
      <c r="A71" s="11">
        <f t="shared" si="2"/>
        <v>45227</v>
      </c>
      <c r="B71" t="str">
        <f t="shared" si="3"/>
        <v>70ELECTRONIC WITHDRAWAL STATE DEPT REVENUE</v>
      </c>
      <c r="C71" t="str" cm="1">
        <f t="array" ref="C71">IFERROR(INDEX(Table1[Category],MATCH(B71,Table1[Unique ID Matches],0)),INDEX(Table2[Category],MATCH(TRUE,ISNUMBER(SEARCH(Table2[Unique ID Contains],B71)),0)))</f>
        <v>Tax Distributions</v>
      </c>
      <c r="D71" t="str">
        <f>INDEX('13 weeks CF'!$C$9:$C$59,MATCH(C71,'13 weeks CF'!$C$9:$C$59,0))</f>
        <v>Tax Distributions</v>
      </c>
      <c r="E71" s="3">
        <v>70</v>
      </c>
      <c r="F71" s="2">
        <v>45226</v>
      </c>
      <c r="G71" s="3" t="s">
        <v>5</v>
      </c>
      <c r="H71" s="4" t="s">
        <v>11</v>
      </c>
      <c r="I71" s="5">
        <v>-3470</v>
      </c>
      <c r="J71" s="5">
        <v>289150</v>
      </c>
    </row>
    <row r="72" spans="1:10" x14ac:dyDescent="0.3">
      <c r="A72" s="11">
        <f t="shared" si="2"/>
        <v>45227</v>
      </c>
      <c r="B72" t="str">
        <f t="shared" si="3"/>
        <v>71CHECK</v>
      </c>
      <c r="C72" t="str" cm="1">
        <f t="array" ref="C72">IFERROR(INDEX(Table1[Category],MATCH(B72,Table1[Unique ID Matches],0)),INDEX(Table2[Category],MATCH(TRUE,ISNUMBER(SEARCH(Table2[Unique ID Contains],B72)),0)))</f>
        <v>Payroll</v>
      </c>
      <c r="D72" t="str">
        <f>INDEX('13 weeks CF'!$C$9:$C$59,MATCH(C72,'13 weeks CF'!$C$9:$C$59,0))</f>
        <v>Payroll</v>
      </c>
      <c r="E72" s="3">
        <v>71</v>
      </c>
      <c r="F72" s="2">
        <v>45226</v>
      </c>
      <c r="G72" s="3">
        <v>79767</v>
      </c>
      <c r="H72" s="4" t="s">
        <v>7</v>
      </c>
      <c r="I72" s="5">
        <v>-210</v>
      </c>
      <c r="J72" s="5">
        <v>288940</v>
      </c>
    </row>
    <row r="73" spans="1:10" x14ac:dyDescent="0.3">
      <c r="A73" s="11">
        <f t="shared" si="2"/>
        <v>45227</v>
      </c>
      <c r="B73" t="str">
        <f t="shared" si="3"/>
        <v>72CHECK</v>
      </c>
      <c r="C73" t="str" cm="1">
        <f t="array" ref="C73">IFERROR(INDEX(Table1[Category],MATCH(B73,Table1[Unique ID Matches],0)),INDEX(Table2[Category],MATCH(TRUE,ISNUMBER(SEARCH(Table2[Unique ID Contains],B73)),0)))</f>
        <v>Accounts Payable</v>
      </c>
      <c r="D73" t="str">
        <f>INDEX('13 weeks CF'!$C$9:$C$59,MATCH(C73,'13 weeks CF'!$C$9:$C$59,0))</f>
        <v>Accounts Payable</v>
      </c>
      <c r="E73" s="3">
        <v>72</v>
      </c>
      <c r="F73" s="2">
        <v>45226</v>
      </c>
      <c r="G73" s="3">
        <v>79806</v>
      </c>
      <c r="H73" s="4" t="s">
        <v>7</v>
      </c>
      <c r="I73" s="5">
        <v>-6420</v>
      </c>
      <c r="J73" s="5">
        <v>282520</v>
      </c>
    </row>
    <row r="74" spans="1:10" x14ac:dyDescent="0.3">
      <c r="A74" s="11">
        <f t="shared" si="2"/>
        <v>45227</v>
      </c>
      <c r="B74" t="str">
        <f t="shared" si="3"/>
        <v>73CHECK</v>
      </c>
      <c r="C74" t="str" cm="1">
        <f t="array" ref="C74">IFERROR(INDEX(Table1[Category],MATCH(B74,Table1[Unique ID Matches],0)),INDEX(Table2[Category],MATCH(TRUE,ISNUMBER(SEARCH(Table2[Unique ID Contains],B74)),0)))</f>
        <v>Accounts Payable</v>
      </c>
      <c r="D74" t="str">
        <f>INDEX('13 weeks CF'!$C$9:$C$59,MATCH(C74,'13 weeks CF'!$C$9:$C$59,0))</f>
        <v>Accounts Payable</v>
      </c>
      <c r="E74" s="3">
        <v>73</v>
      </c>
      <c r="F74" s="2">
        <v>45226</v>
      </c>
      <c r="G74" s="3">
        <v>79807</v>
      </c>
      <c r="H74" s="4" t="s">
        <v>7</v>
      </c>
      <c r="I74" s="5">
        <v>-23620</v>
      </c>
      <c r="J74" s="5">
        <v>258900</v>
      </c>
    </row>
    <row r="75" spans="1:10" x14ac:dyDescent="0.3">
      <c r="A75" s="11">
        <f t="shared" si="2"/>
        <v>45227</v>
      </c>
      <c r="B75" t="str">
        <f t="shared" si="3"/>
        <v>74CHECK</v>
      </c>
      <c r="C75" t="str" cm="1">
        <f t="array" ref="C75">IFERROR(INDEX(Table1[Category],MATCH(B75,Table1[Unique ID Matches],0)),INDEX(Table2[Category],MATCH(TRUE,ISNUMBER(SEARCH(Table2[Unique ID Contains],B75)),0)))</f>
        <v>Payroll</v>
      </c>
      <c r="D75" t="str">
        <f>INDEX('13 weeks CF'!$C$9:$C$59,MATCH(C75,'13 weeks CF'!$C$9:$C$59,0))</f>
        <v>Payroll</v>
      </c>
      <c r="E75" s="3">
        <v>74</v>
      </c>
      <c r="F75" s="2">
        <v>45226</v>
      </c>
      <c r="G75" s="3">
        <v>79810</v>
      </c>
      <c r="H75" s="4" t="s">
        <v>7</v>
      </c>
      <c r="I75" s="5">
        <v>-1360</v>
      </c>
      <c r="J75" s="5">
        <v>257540</v>
      </c>
    </row>
    <row r="76" spans="1:10" x14ac:dyDescent="0.3">
      <c r="A76" s="11">
        <f t="shared" si="2"/>
        <v>45227</v>
      </c>
      <c r="B76" t="str">
        <f t="shared" si="3"/>
        <v>75CHECK</v>
      </c>
      <c r="C76" t="str" cm="1">
        <f t="array" ref="C76">IFERROR(INDEX(Table1[Category],MATCH(B76,Table1[Unique ID Matches],0)),INDEX(Table2[Category],MATCH(TRUE,ISNUMBER(SEARCH(Table2[Unique ID Contains],B76)),0)))</f>
        <v>Payroll</v>
      </c>
      <c r="D76" t="str">
        <f>INDEX('13 weeks CF'!$C$9:$C$59,MATCH(C76,'13 weeks CF'!$C$9:$C$59,0))</f>
        <v>Payroll</v>
      </c>
      <c r="E76" s="3">
        <v>75</v>
      </c>
      <c r="F76" s="2">
        <v>45226</v>
      </c>
      <c r="G76" s="3">
        <v>79811</v>
      </c>
      <c r="H76" s="4" t="s">
        <v>7</v>
      </c>
      <c r="I76" s="5">
        <v>-1300</v>
      </c>
      <c r="J76" s="5">
        <v>256240</v>
      </c>
    </row>
    <row r="77" spans="1:10" x14ac:dyDescent="0.3">
      <c r="A77" s="11">
        <f t="shared" si="2"/>
        <v>45227</v>
      </c>
      <c r="B77" t="str">
        <f t="shared" si="3"/>
        <v>76CHECK</v>
      </c>
      <c r="C77" t="str" cm="1">
        <f t="array" ref="C77">IFERROR(INDEX(Table1[Category],MATCH(B77,Table1[Unique ID Matches],0)),INDEX(Table2[Category],MATCH(TRUE,ISNUMBER(SEARCH(Table2[Unique ID Contains],B77)),0)))</f>
        <v>Payroll</v>
      </c>
      <c r="D77" t="str">
        <f>INDEX('13 weeks CF'!$C$9:$C$59,MATCH(C77,'13 weeks CF'!$C$9:$C$59,0))</f>
        <v>Payroll</v>
      </c>
      <c r="E77" s="3">
        <v>76</v>
      </c>
      <c r="F77" s="2">
        <v>45226</v>
      </c>
      <c r="G77" s="3">
        <v>79813</v>
      </c>
      <c r="H77" s="4" t="s">
        <v>7</v>
      </c>
      <c r="I77" s="5">
        <v>-1880</v>
      </c>
      <c r="J77" s="5">
        <v>254360</v>
      </c>
    </row>
    <row r="78" spans="1:10" x14ac:dyDescent="0.3">
      <c r="A78" s="11">
        <f t="shared" si="2"/>
        <v>45227</v>
      </c>
      <c r="B78" t="str">
        <f t="shared" si="3"/>
        <v>77CHECK</v>
      </c>
      <c r="C78" t="str" cm="1">
        <f t="array" ref="C78">IFERROR(INDEX(Table1[Category],MATCH(B78,Table1[Unique ID Matches],0)),INDEX(Table2[Category],MATCH(TRUE,ISNUMBER(SEARCH(Table2[Unique ID Contains],B78)),0)))</f>
        <v>Payroll</v>
      </c>
      <c r="D78" t="str">
        <f>INDEX('13 weeks CF'!$C$9:$C$59,MATCH(C78,'13 weeks CF'!$C$9:$C$59,0))</f>
        <v>Payroll</v>
      </c>
      <c r="E78" s="3">
        <v>77</v>
      </c>
      <c r="F78" s="2">
        <v>45226</v>
      </c>
      <c r="G78" s="3">
        <v>79814</v>
      </c>
      <c r="H78" s="4" t="s">
        <v>7</v>
      </c>
      <c r="I78" s="5">
        <v>-1300</v>
      </c>
      <c r="J78" s="5">
        <v>253060</v>
      </c>
    </row>
    <row r="79" spans="1:10" x14ac:dyDescent="0.3">
      <c r="A79" s="11">
        <f t="shared" si="2"/>
        <v>45227</v>
      </c>
      <c r="B79" t="str">
        <f t="shared" si="3"/>
        <v>78CHECK</v>
      </c>
      <c r="C79" t="str" cm="1">
        <f t="array" ref="C79">IFERROR(INDEX(Table1[Category],MATCH(B79,Table1[Unique ID Matches],0)),INDEX(Table2[Category],MATCH(TRUE,ISNUMBER(SEARCH(Table2[Unique ID Contains],B79)),0)))</f>
        <v>Payroll</v>
      </c>
      <c r="D79" t="str">
        <f>INDEX('13 weeks CF'!$C$9:$C$59,MATCH(C79,'13 weeks CF'!$C$9:$C$59,0))</f>
        <v>Payroll</v>
      </c>
      <c r="E79" s="3">
        <v>78</v>
      </c>
      <c r="F79" s="2">
        <v>45226</v>
      </c>
      <c r="G79" s="3">
        <v>79816</v>
      </c>
      <c r="H79" s="4" t="s">
        <v>7</v>
      </c>
      <c r="I79" s="5">
        <v>-1300</v>
      </c>
      <c r="J79" s="5">
        <v>251760</v>
      </c>
    </row>
    <row r="80" spans="1:10" x14ac:dyDescent="0.3">
      <c r="A80" s="11">
        <f t="shared" si="2"/>
        <v>45227</v>
      </c>
      <c r="B80" t="str">
        <f t="shared" si="3"/>
        <v>79CHECK</v>
      </c>
      <c r="C80" t="str" cm="1">
        <f t="array" ref="C80">IFERROR(INDEX(Table1[Category],MATCH(B80,Table1[Unique ID Matches],0)),INDEX(Table2[Category],MATCH(TRUE,ISNUMBER(SEARCH(Table2[Unique ID Contains],B80)),0)))</f>
        <v>Payroll</v>
      </c>
      <c r="D80" t="str">
        <f>INDEX('13 weeks CF'!$C$9:$C$59,MATCH(C80,'13 weeks CF'!$C$9:$C$59,0))</f>
        <v>Payroll</v>
      </c>
      <c r="E80" s="3">
        <v>79</v>
      </c>
      <c r="F80" s="2">
        <v>45226</v>
      </c>
      <c r="G80" s="3">
        <v>79817</v>
      </c>
      <c r="H80" s="4" t="s">
        <v>7</v>
      </c>
      <c r="I80" s="5">
        <v>-1320</v>
      </c>
      <c r="J80" s="5">
        <v>250440</v>
      </c>
    </row>
    <row r="81" spans="1:10" x14ac:dyDescent="0.3">
      <c r="A81" s="11">
        <f t="shared" si="2"/>
        <v>45227</v>
      </c>
      <c r="B81" t="str">
        <f t="shared" si="3"/>
        <v>80CHECK</v>
      </c>
      <c r="C81" t="str" cm="1">
        <f t="array" ref="C81">IFERROR(INDEX(Table1[Category],MATCH(B81,Table1[Unique ID Matches],0)),INDEX(Table2[Category],MATCH(TRUE,ISNUMBER(SEARCH(Table2[Unique ID Contains],B81)),0)))</f>
        <v>Payroll</v>
      </c>
      <c r="D81" t="str">
        <f>INDEX('13 weeks CF'!$C$9:$C$59,MATCH(C81,'13 weeks CF'!$C$9:$C$59,0))</f>
        <v>Payroll</v>
      </c>
      <c r="E81" s="3">
        <v>80</v>
      </c>
      <c r="F81" s="2">
        <v>45226</v>
      </c>
      <c r="G81" s="3">
        <v>79818</v>
      </c>
      <c r="H81" s="4" t="s">
        <v>7</v>
      </c>
      <c r="I81" s="5">
        <v>-1080</v>
      </c>
      <c r="J81" s="5">
        <v>249360</v>
      </c>
    </row>
    <row r="82" spans="1:10" x14ac:dyDescent="0.3">
      <c r="A82" s="11">
        <f t="shared" si="2"/>
        <v>45227</v>
      </c>
      <c r="B82" t="str">
        <f t="shared" si="3"/>
        <v>81CHECK</v>
      </c>
      <c r="C82" t="str" cm="1">
        <f t="array" ref="C82">IFERROR(INDEX(Table1[Category],MATCH(B82,Table1[Unique ID Matches],0)),INDEX(Table2[Category],MATCH(TRUE,ISNUMBER(SEARCH(Table2[Unique ID Contains],B82)),0)))</f>
        <v>Payroll</v>
      </c>
      <c r="D82" t="str">
        <f>INDEX('13 weeks CF'!$C$9:$C$59,MATCH(C82,'13 weeks CF'!$C$9:$C$59,0))</f>
        <v>Payroll</v>
      </c>
      <c r="E82" s="3">
        <v>81</v>
      </c>
      <c r="F82" s="2">
        <v>45226</v>
      </c>
      <c r="G82" s="3">
        <v>79819</v>
      </c>
      <c r="H82" s="4" t="s">
        <v>7</v>
      </c>
      <c r="I82" s="5">
        <v>-1390</v>
      </c>
      <c r="J82" s="5">
        <v>247970</v>
      </c>
    </row>
    <row r="83" spans="1:10" x14ac:dyDescent="0.3">
      <c r="A83" s="11">
        <f t="shared" si="2"/>
        <v>45227</v>
      </c>
      <c r="B83" t="str">
        <f t="shared" si="3"/>
        <v>82CHECK</v>
      </c>
      <c r="C83" t="str" cm="1">
        <f t="array" ref="C83">IFERROR(INDEX(Table1[Category],MATCH(B83,Table1[Unique ID Matches],0)),INDEX(Table2[Category],MATCH(TRUE,ISNUMBER(SEARCH(Table2[Unique ID Contains],B83)),0)))</f>
        <v>Payroll</v>
      </c>
      <c r="D83" t="str">
        <f>INDEX('13 weeks CF'!$C$9:$C$59,MATCH(C83,'13 weeks CF'!$C$9:$C$59,0))</f>
        <v>Payroll</v>
      </c>
      <c r="E83" s="3">
        <v>82</v>
      </c>
      <c r="F83" s="2">
        <v>45226</v>
      </c>
      <c r="G83" s="3">
        <v>79822</v>
      </c>
      <c r="H83" s="4" t="s">
        <v>7</v>
      </c>
      <c r="I83" s="5">
        <v>-1340</v>
      </c>
      <c r="J83" s="5">
        <v>246630</v>
      </c>
    </row>
    <row r="84" spans="1:10" x14ac:dyDescent="0.3">
      <c r="A84" s="11">
        <f t="shared" si="2"/>
        <v>45227</v>
      </c>
      <c r="B84" t="str">
        <f t="shared" si="3"/>
        <v>83CHECK</v>
      </c>
      <c r="C84" t="str" cm="1">
        <f t="array" ref="C84">IFERROR(INDEX(Table1[Category],MATCH(B84,Table1[Unique ID Matches],0)),INDEX(Table2[Category],MATCH(TRUE,ISNUMBER(SEARCH(Table2[Unique ID Contains],B84)),0)))</f>
        <v>Payroll</v>
      </c>
      <c r="D84" t="str">
        <f>INDEX('13 weeks CF'!$C$9:$C$59,MATCH(C84,'13 weeks CF'!$C$9:$C$59,0))</f>
        <v>Payroll</v>
      </c>
      <c r="E84" s="3">
        <v>83</v>
      </c>
      <c r="F84" s="2">
        <v>45226</v>
      </c>
      <c r="G84" s="3">
        <v>79823</v>
      </c>
      <c r="H84" s="4" t="s">
        <v>7</v>
      </c>
      <c r="I84" s="5">
        <v>-1130</v>
      </c>
      <c r="J84" s="5">
        <v>245500</v>
      </c>
    </row>
    <row r="85" spans="1:10" x14ac:dyDescent="0.3">
      <c r="A85" s="11">
        <f t="shared" si="2"/>
        <v>45227</v>
      </c>
      <c r="B85" t="str">
        <f t="shared" si="3"/>
        <v>84CHECK</v>
      </c>
      <c r="C85" t="str" cm="1">
        <f t="array" ref="C85">IFERROR(INDEX(Table1[Category],MATCH(B85,Table1[Unique ID Matches],0)),INDEX(Table2[Category],MATCH(TRUE,ISNUMBER(SEARCH(Table2[Unique ID Contains],B85)),0)))</f>
        <v>Payroll</v>
      </c>
      <c r="D85" t="str">
        <f>INDEX('13 weeks CF'!$C$9:$C$59,MATCH(C85,'13 weeks CF'!$C$9:$C$59,0))</f>
        <v>Payroll</v>
      </c>
      <c r="E85" s="3">
        <v>84</v>
      </c>
      <c r="F85" s="2">
        <v>45226</v>
      </c>
      <c r="G85" s="3">
        <v>79824</v>
      </c>
      <c r="H85" s="4" t="s">
        <v>7</v>
      </c>
      <c r="I85" s="5">
        <v>-1240</v>
      </c>
      <c r="J85" s="5">
        <v>244260</v>
      </c>
    </row>
    <row r="86" spans="1:10" x14ac:dyDescent="0.3">
      <c r="A86" s="11">
        <f t="shared" si="2"/>
        <v>45227</v>
      </c>
      <c r="B86" t="str">
        <f t="shared" si="3"/>
        <v>85CHECK</v>
      </c>
      <c r="C86" t="str" cm="1">
        <f t="array" ref="C86">IFERROR(INDEX(Table1[Category],MATCH(B86,Table1[Unique ID Matches],0)),INDEX(Table2[Category],MATCH(TRUE,ISNUMBER(SEARCH(Table2[Unique ID Contains],B86)),0)))</f>
        <v>Payroll</v>
      </c>
      <c r="D86" t="str">
        <f>INDEX('13 weeks CF'!$C$9:$C$59,MATCH(C86,'13 weeks CF'!$C$9:$C$59,0))</f>
        <v>Payroll</v>
      </c>
      <c r="E86" s="3">
        <v>85</v>
      </c>
      <c r="F86" s="2">
        <v>45226</v>
      </c>
      <c r="G86" s="3">
        <v>79825</v>
      </c>
      <c r="H86" s="4" t="s">
        <v>7</v>
      </c>
      <c r="I86" s="5">
        <v>-1940</v>
      </c>
      <c r="J86" s="5">
        <v>242320</v>
      </c>
    </row>
    <row r="87" spans="1:10" x14ac:dyDescent="0.3">
      <c r="A87" s="11">
        <f t="shared" si="2"/>
        <v>45227</v>
      </c>
      <c r="B87" t="str">
        <f t="shared" si="3"/>
        <v>86CHECK</v>
      </c>
      <c r="C87" t="str" cm="1">
        <f t="array" ref="C87">IFERROR(INDEX(Table1[Category],MATCH(B87,Table1[Unique ID Matches],0)),INDEX(Table2[Category],MATCH(TRUE,ISNUMBER(SEARCH(Table2[Unique ID Contains],B87)),0)))</f>
        <v>Payroll</v>
      </c>
      <c r="D87" t="str">
        <f>INDEX('13 weeks CF'!$C$9:$C$59,MATCH(C87,'13 weeks CF'!$C$9:$C$59,0))</f>
        <v>Payroll</v>
      </c>
      <c r="E87" s="3">
        <v>86</v>
      </c>
      <c r="F87" s="2">
        <v>45226</v>
      </c>
      <c r="G87" s="3">
        <v>79826</v>
      </c>
      <c r="H87" s="4" t="s">
        <v>7</v>
      </c>
      <c r="I87" s="5">
        <v>-1050</v>
      </c>
      <c r="J87" s="5">
        <v>241270</v>
      </c>
    </row>
    <row r="88" spans="1:10" x14ac:dyDescent="0.3">
      <c r="A88" s="11">
        <f t="shared" si="2"/>
        <v>45227</v>
      </c>
      <c r="B88" t="str">
        <f t="shared" si="3"/>
        <v>87CHECK</v>
      </c>
      <c r="C88" t="str" cm="1">
        <f t="array" ref="C88">IFERROR(INDEX(Table1[Category],MATCH(B88,Table1[Unique ID Matches],0)),INDEX(Table2[Category],MATCH(TRUE,ISNUMBER(SEARCH(Table2[Unique ID Contains],B88)),0)))</f>
        <v>Payroll</v>
      </c>
      <c r="D88" t="str">
        <f>INDEX('13 weeks CF'!$C$9:$C$59,MATCH(C88,'13 weeks CF'!$C$9:$C$59,0))</f>
        <v>Payroll</v>
      </c>
      <c r="E88" s="3">
        <v>87</v>
      </c>
      <c r="F88" s="2">
        <v>45226</v>
      </c>
      <c r="G88" s="3">
        <v>79828</v>
      </c>
      <c r="H88" s="4" t="s">
        <v>7</v>
      </c>
      <c r="I88" s="5">
        <v>-1490</v>
      </c>
      <c r="J88" s="5">
        <v>239780</v>
      </c>
    </row>
    <row r="89" spans="1:10" x14ac:dyDescent="0.3">
      <c r="A89" s="11">
        <f t="shared" si="2"/>
        <v>45227</v>
      </c>
      <c r="B89" t="str">
        <f t="shared" si="3"/>
        <v>88CHECK</v>
      </c>
      <c r="C89" t="str" cm="1">
        <f t="array" ref="C89">IFERROR(INDEX(Table1[Category],MATCH(B89,Table1[Unique ID Matches],0)),INDEX(Table2[Category],MATCH(TRUE,ISNUMBER(SEARCH(Table2[Unique ID Contains],B89)),0)))</f>
        <v>Payroll</v>
      </c>
      <c r="D89" t="str">
        <f>INDEX('13 weeks CF'!$C$9:$C$59,MATCH(C89,'13 weeks CF'!$C$9:$C$59,0))</f>
        <v>Payroll</v>
      </c>
      <c r="E89" s="3">
        <v>88</v>
      </c>
      <c r="F89" s="2">
        <v>45226</v>
      </c>
      <c r="G89" s="3">
        <v>79829</v>
      </c>
      <c r="H89" s="4" t="s">
        <v>7</v>
      </c>
      <c r="I89" s="5">
        <v>-940</v>
      </c>
      <c r="J89" s="5">
        <v>238840</v>
      </c>
    </row>
    <row r="90" spans="1:10" x14ac:dyDescent="0.3">
      <c r="A90" s="11">
        <f t="shared" si="2"/>
        <v>45227</v>
      </c>
      <c r="B90" t="str">
        <f t="shared" si="3"/>
        <v>89CHECK</v>
      </c>
      <c r="C90" t="str" cm="1">
        <f t="array" ref="C90">IFERROR(INDEX(Table1[Category],MATCH(B90,Table1[Unique ID Matches],0)),INDEX(Table2[Category],MATCH(TRUE,ISNUMBER(SEARCH(Table2[Unique ID Contains],B90)),0)))</f>
        <v>Payroll</v>
      </c>
      <c r="D90" t="str">
        <f>INDEX('13 weeks CF'!$C$9:$C$59,MATCH(C90,'13 weeks CF'!$C$9:$C$59,0))</f>
        <v>Payroll</v>
      </c>
      <c r="E90" s="3">
        <v>89</v>
      </c>
      <c r="F90" s="2">
        <v>45226</v>
      </c>
      <c r="G90" s="3">
        <v>79830</v>
      </c>
      <c r="H90" s="4" t="s">
        <v>7</v>
      </c>
      <c r="I90" s="5">
        <v>-1230</v>
      </c>
      <c r="J90" s="5">
        <v>237610</v>
      </c>
    </row>
    <row r="91" spans="1:10" x14ac:dyDescent="0.3">
      <c r="A91" s="11">
        <f t="shared" si="2"/>
        <v>45227</v>
      </c>
      <c r="B91" t="str">
        <f t="shared" si="3"/>
        <v>90CHECK</v>
      </c>
      <c r="C91" t="str" cm="1">
        <f t="array" ref="C91">IFERROR(INDEX(Table1[Category],MATCH(B91,Table1[Unique ID Matches],0)),INDEX(Table2[Category],MATCH(TRUE,ISNUMBER(SEARCH(Table2[Unique ID Contains],B91)),0)))</f>
        <v>Payroll</v>
      </c>
      <c r="D91" t="str">
        <f>INDEX('13 weeks CF'!$C$9:$C$59,MATCH(C91,'13 weeks CF'!$C$9:$C$59,0))</f>
        <v>Payroll</v>
      </c>
      <c r="E91" s="3">
        <v>90</v>
      </c>
      <c r="F91" s="2">
        <v>45226</v>
      </c>
      <c r="G91" s="3">
        <v>79832</v>
      </c>
      <c r="H91" s="4" t="s">
        <v>7</v>
      </c>
      <c r="I91" s="5">
        <v>-1160</v>
      </c>
      <c r="J91" s="5">
        <v>236450</v>
      </c>
    </row>
    <row r="92" spans="1:10" x14ac:dyDescent="0.3">
      <c r="A92" s="11">
        <f t="shared" si="2"/>
        <v>45227</v>
      </c>
      <c r="B92" t="str">
        <f t="shared" si="3"/>
        <v>91CHECK</v>
      </c>
      <c r="C92" t="str" cm="1">
        <f t="array" ref="C92">IFERROR(INDEX(Table1[Category],MATCH(B92,Table1[Unique ID Matches],0)),INDEX(Table2[Category],MATCH(TRUE,ISNUMBER(SEARCH(Table2[Unique ID Contains],B92)),0)))</f>
        <v>Payroll</v>
      </c>
      <c r="D92" t="str">
        <f>INDEX('13 weeks CF'!$C$9:$C$59,MATCH(C92,'13 weeks CF'!$C$9:$C$59,0))</f>
        <v>Payroll</v>
      </c>
      <c r="E92" s="3">
        <v>91</v>
      </c>
      <c r="F92" s="2">
        <v>45226</v>
      </c>
      <c r="G92" s="3">
        <v>79833</v>
      </c>
      <c r="H92" s="4" t="s">
        <v>7</v>
      </c>
      <c r="I92" s="5">
        <v>-1590</v>
      </c>
      <c r="J92" s="5">
        <v>234860</v>
      </c>
    </row>
    <row r="93" spans="1:10" x14ac:dyDescent="0.3">
      <c r="A93" s="11">
        <f t="shared" si="2"/>
        <v>45227</v>
      </c>
      <c r="B93" t="str">
        <f t="shared" si="3"/>
        <v>92CHECK</v>
      </c>
      <c r="C93" t="str" cm="1">
        <f t="array" ref="C93">IFERROR(INDEX(Table1[Category],MATCH(B93,Table1[Unique ID Matches],0)),INDEX(Table2[Category],MATCH(TRUE,ISNUMBER(SEARCH(Table2[Unique ID Contains],B93)),0)))</f>
        <v>Payroll</v>
      </c>
      <c r="D93" t="str">
        <f>INDEX('13 weeks CF'!$C$9:$C$59,MATCH(C93,'13 weeks CF'!$C$9:$C$59,0))</f>
        <v>Payroll</v>
      </c>
      <c r="E93" s="3">
        <v>92</v>
      </c>
      <c r="F93" s="2">
        <v>45226</v>
      </c>
      <c r="G93" s="3">
        <v>79834</v>
      </c>
      <c r="H93" s="4" t="s">
        <v>7</v>
      </c>
      <c r="I93" s="5">
        <v>-1790</v>
      </c>
      <c r="J93" s="5">
        <v>233070</v>
      </c>
    </row>
    <row r="94" spans="1:10" x14ac:dyDescent="0.3">
      <c r="A94" s="11">
        <f t="shared" si="2"/>
        <v>45227</v>
      </c>
      <c r="B94" t="str">
        <f t="shared" si="3"/>
        <v>93CHECK</v>
      </c>
      <c r="C94" t="str" cm="1">
        <f t="array" ref="C94">IFERROR(INDEX(Table1[Category],MATCH(B94,Table1[Unique ID Matches],0)),INDEX(Table2[Category],MATCH(TRUE,ISNUMBER(SEARCH(Table2[Unique ID Contains],B94)),0)))</f>
        <v>Payroll</v>
      </c>
      <c r="D94" t="str">
        <f>INDEX('13 weeks CF'!$C$9:$C$59,MATCH(C94,'13 weeks CF'!$C$9:$C$59,0))</f>
        <v>Payroll</v>
      </c>
      <c r="E94" s="3">
        <v>93</v>
      </c>
      <c r="F94" s="2">
        <v>45226</v>
      </c>
      <c r="G94" s="3">
        <v>79835</v>
      </c>
      <c r="H94" s="4" t="s">
        <v>7</v>
      </c>
      <c r="I94" s="5">
        <v>-1360</v>
      </c>
      <c r="J94" s="5">
        <v>231710</v>
      </c>
    </row>
    <row r="95" spans="1:10" x14ac:dyDescent="0.3">
      <c r="A95" s="11">
        <f t="shared" si="2"/>
        <v>45227</v>
      </c>
      <c r="B95" t="str">
        <f t="shared" si="3"/>
        <v>94CHECK</v>
      </c>
      <c r="C95" t="str" cm="1">
        <f t="array" ref="C95">IFERROR(INDEX(Table1[Category],MATCH(B95,Table1[Unique ID Matches],0)),INDEX(Table2[Category],MATCH(TRUE,ISNUMBER(SEARCH(Table2[Unique ID Contains],B95)),0)))</f>
        <v>Payroll</v>
      </c>
      <c r="D95" t="str">
        <f>INDEX('13 weeks CF'!$C$9:$C$59,MATCH(C95,'13 weeks CF'!$C$9:$C$59,0))</f>
        <v>Payroll</v>
      </c>
      <c r="E95" s="3">
        <v>94</v>
      </c>
      <c r="F95" s="2">
        <v>45226</v>
      </c>
      <c r="G95" s="3">
        <v>79836</v>
      </c>
      <c r="H95" s="4" t="s">
        <v>7</v>
      </c>
      <c r="I95" s="5">
        <v>-1490</v>
      </c>
      <c r="J95" s="5">
        <v>230220</v>
      </c>
    </row>
    <row r="96" spans="1:10" x14ac:dyDescent="0.3">
      <c r="A96" s="11">
        <f t="shared" si="2"/>
        <v>45227</v>
      </c>
      <c r="B96" t="str">
        <f t="shared" si="3"/>
        <v>95CHECK</v>
      </c>
      <c r="C96" t="str" cm="1">
        <f t="array" ref="C96">IFERROR(INDEX(Table1[Category],MATCH(B96,Table1[Unique ID Matches],0)),INDEX(Table2[Category],MATCH(TRUE,ISNUMBER(SEARCH(Table2[Unique ID Contains],B96)),0)))</f>
        <v>Payroll</v>
      </c>
      <c r="D96" t="str">
        <f>INDEX('13 weeks CF'!$C$9:$C$59,MATCH(C96,'13 weeks CF'!$C$9:$C$59,0))</f>
        <v>Payroll</v>
      </c>
      <c r="E96" s="3">
        <v>95</v>
      </c>
      <c r="F96" s="2">
        <v>45226</v>
      </c>
      <c r="G96" s="3">
        <v>79837</v>
      </c>
      <c r="H96" s="4" t="s">
        <v>7</v>
      </c>
      <c r="I96" s="5">
        <v>-690</v>
      </c>
      <c r="J96" s="5">
        <v>229530</v>
      </c>
    </row>
    <row r="97" spans="1:10" x14ac:dyDescent="0.3">
      <c r="A97" s="11">
        <f t="shared" si="2"/>
        <v>45227</v>
      </c>
      <c r="B97" t="str">
        <f t="shared" si="3"/>
        <v>96CHECK</v>
      </c>
      <c r="C97" t="str" cm="1">
        <f t="array" ref="C97">IFERROR(INDEX(Table1[Category],MATCH(B97,Table1[Unique ID Matches],0)),INDEX(Table2[Category],MATCH(TRUE,ISNUMBER(SEARCH(Table2[Unique ID Contains],B97)),0)))</f>
        <v>Payroll</v>
      </c>
      <c r="D97" t="str">
        <f>INDEX('13 weeks CF'!$C$9:$C$59,MATCH(C97,'13 weeks CF'!$C$9:$C$59,0))</f>
        <v>Payroll</v>
      </c>
      <c r="E97" s="3">
        <v>96</v>
      </c>
      <c r="F97" s="2">
        <v>45226</v>
      </c>
      <c r="G97" s="3">
        <v>79839</v>
      </c>
      <c r="H97" s="4" t="s">
        <v>7</v>
      </c>
      <c r="I97" s="5">
        <v>-1160</v>
      </c>
      <c r="J97" s="5">
        <v>228370</v>
      </c>
    </row>
    <row r="98" spans="1:10" x14ac:dyDescent="0.3">
      <c r="A98" s="11">
        <f t="shared" si="2"/>
        <v>45227</v>
      </c>
      <c r="B98" t="str">
        <f t="shared" si="3"/>
        <v>97CHECK</v>
      </c>
      <c r="C98" t="str" cm="1">
        <f t="array" ref="C98">IFERROR(INDEX(Table1[Category],MATCH(B98,Table1[Unique ID Matches],0)),INDEX(Table2[Category],MATCH(TRUE,ISNUMBER(SEARCH(Table2[Unique ID Contains],B98)),0)))</f>
        <v>Payroll</v>
      </c>
      <c r="D98" t="str">
        <f>INDEX('13 weeks CF'!$C$9:$C$59,MATCH(C98,'13 weeks CF'!$C$9:$C$59,0))</f>
        <v>Payroll</v>
      </c>
      <c r="E98" s="3">
        <v>97</v>
      </c>
      <c r="F98" s="2">
        <v>45226</v>
      </c>
      <c r="G98" s="3">
        <v>79840</v>
      </c>
      <c r="H98" s="4" t="s">
        <v>7</v>
      </c>
      <c r="I98" s="5">
        <v>-1410</v>
      </c>
      <c r="J98" s="5">
        <v>226960</v>
      </c>
    </row>
    <row r="99" spans="1:10" x14ac:dyDescent="0.3">
      <c r="A99" s="11">
        <f t="shared" si="2"/>
        <v>45227</v>
      </c>
      <c r="B99" t="str">
        <f t="shared" si="3"/>
        <v>98CHECK</v>
      </c>
      <c r="C99" t="str" cm="1">
        <f t="array" ref="C99">IFERROR(INDEX(Table1[Category],MATCH(B99,Table1[Unique ID Matches],0)),INDEX(Table2[Category],MATCH(TRUE,ISNUMBER(SEARCH(Table2[Unique ID Contains],B99)),0)))</f>
        <v>Payroll</v>
      </c>
      <c r="D99" t="str">
        <f>INDEX('13 weeks CF'!$C$9:$C$59,MATCH(C99,'13 weeks CF'!$C$9:$C$59,0))</f>
        <v>Payroll</v>
      </c>
      <c r="E99" s="3">
        <v>98</v>
      </c>
      <c r="F99" s="2">
        <v>45226</v>
      </c>
      <c r="G99" s="3">
        <v>79841</v>
      </c>
      <c r="H99" s="4" t="s">
        <v>7</v>
      </c>
      <c r="I99" s="5">
        <v>-1560</v>
      </c>
      <c r="J99" s="5">
        <v>225400</v>
      </c>
    </row>
    <row r="100" spans="1:10" x14ac:dyDescent="0.3">
      <c r="A100" s="11">
        <f t="shared" si="2"/>
        <v>45227</v>
      </c>
      <c r="B100" t="str">
        <f t="shared" si="3"/>
        <v>99CHECK</v>
      </c>
      <c r="C100" t="str" cm="1">
        <f t="array" ref="C100">IFERROR(INDEX(Table1[Category],MATCH(B100,Table1[Unique ID Matches],0)),INDEX(Table2[Category],MATCH(TRUE,ISNUMBER(SEARCH(Table2[Unique ID Contains],B100)),0)))</f>
        <v>Payroll</v>
      </c>
      <c r="D100" t="str">
        <f>INDEX('13 weeks CF'!$C$9:$C$59,MATCH(C100,'13 weeks CF'!$C$9:$C$59,0))</f>
        <v>Payroll</v>
      </c>
      <c r="E100" s="3">
        <v>99</v>
      </c>
      <c r="F100" s="2">
        <v>45226</v>
      </c>
      <c r="G100" s="3">
        <v>79844</v>
      </c>
      <c r="H100" s="4" t="s">
        <v>7</v>
      </c>
      <c r="I100" s="5">
        <v>-1300</v>
      </c>
      <c r="J100" s="5">
        <v>224100</v>
      </c>
    </row>
    <row r="101" spans="1:10" x14ac:dyDescent="0.3">
      <c r="A101" s="11">
        <f t="shared" si="2"/>
        <v>45227</v>
      </c>
      <c r="B101" t="str">
        <f t="shared" si="3"/>
        <v>100CHECK</v>
      </c>
      <c r="C101" t="str" cm="1">
        <f t="array" ref="C101">IFERROR(INDEX(Table1[Category],MATCH(B101,Table1[Unique ID Matches],0)),INDEX(Table2[Category],MATCH(TRUE,ISNUMBER(SEARCH(Table2[Unique ID Contains],B101)),0)))</f>
        <v>Payroll</v>
      </c>
      <c r="D101" t="str">
        <f>INDEX('13 weeks CF'!$C$9:$C$59,MATCH(C101,'13 weeks CF'!$C$9:$C$59,0))</f>
        <v>Payroll</v>
      </c>
      <c r="E101" s="3">
        <v>100</v>
      </c>
      <c r="F101" s="2">
        <v>45226</v>
      </c>
      <c r="G101" s="3">
        <v>79845</v>
      </c>
      <c r="H101" s="4" t="s">
        <v>7</v>
      </c>
      <c r="I101" s="5">
        <v>-1890</v>
      </c>
      <c r="J101" s="5">
        <v>222210</v>
      </c>
    </row>
    <row r="102" spans="1:10" x14ac:dyDescent="0.3">
      <c r="A102" s="11">
        <f t="shared" si="2"/>
        <v>45227</v>
      </c>
      <c r="B102" t="str">
        <f t="shared" si="3"/>
        <v>101CHECK</v>
      </c>
      <c r="C102" t="str" cm="1">
        <f t="array" ref="C102">IFERROR(INDEX(Table1[Category],MATCH(B102,Table1[Unique ID Matches],0)),INDEX(Table2[Category],MATCH(TRUE,ISNUMBER(SEARCH(Table2[Unique ID Contains],B102)),0)))</f>
        <v>Payroll</v>
      </c>
      <c r="D102" t="str">
        <f>INDEX('13 weeks CF'!$C$9:$C$59,MATCH(C102,'13 weeks CF'!$C$9:$C$59,0))</f>
        <v>Payroll</v>
      </c>
      <c r="E102" s="3">
        <v>101</v>
      </c>
      <c r="F102" s="2">
        <v>45226</v>
      </c>
      <c r="G102" s="3">
        <v>79847</v>
      </c>
      <c r="H102" s="4" t="s">
        <v>7</v>
      </c>
      <c r="I102" s="5">
        <v>-1500</v>
      </c>
      <c r="J102" s="5">
        <v>220710</v>
      </c>
    </row>
    <row r="103" spans="1:10" x14ac:dyDescent="0.3">
      <c r="A103" s="11">
        <f t="shared" si="2"/>
        <v>45227</v>
      </c>
      <c r="B103" t="str">
        <f t="shared" si="3"/>
        <v>102CHECK</v>
      </c>
      <c r="C103" t="str" cm="1">
        <f t="array" ref="C103">IFERROR(INDEX(Table1[Category],MATCH(B103,Table1[Unique ID Matches],0)),INDEX(Table2[Category],MATCH(TRUE,ISNUMBER(SEARCH(Table2[Unique ID Contains],B103)),0)))</f>
        <v>Payroll</v>
      </c>
      <c r="D103" t="str">
        <f>INDEX('13 weeks CF'!$C$9:$C$59,MATCH(C103,'13 weeks CF'!$C$9:$C$59,0))</f>
        <v>Payroll</v>
      </c>
      <c r="E103" s="3">
        <v>102</v>
      </c>
      <c r="F103" s="2">
        <v>45226</v>
      </c>
      <c r="G103" s="3">
        <v>79848</v>
      </c>
      <c r="H103" s="4" t="s">
        <v>7</v>
      </c>
      <c r="I103" s="5">
        <v>-1420</v>
      </c>
      <c r="J103" s="5">
        <v>219290</v>
      </c>
    </row>
    <row r="104" spans="1:10" x14ac:dyDescent="0.3">
      <c r="A104" s="11">
        <f t="shared" si="2"/>
        <v>45227</v>
      </c>
      <c r="B104" t="str">
        <f t="shared" si="3"/>
        <v>103CHECK</v>
      </c>
      <c r="C104" t="str" cm="1">
        <f t="array" ref="C104">IFERROR(INDEX(Table1[Category],MATCH(B104,Table1[Unique ID Matches],0)),INDEX(Table2[Category],MATCH(TRUE,ISNUMBER(SEARCH(Table2[Unique ID Contains],B104)),0)))</f>
        <v>Payroll</v>
      </c>
      <c r="D104" t="str">
        <f>INDEX('13 weeks CF'!$C$9:$C$59,MATCH(C104,'13 weeks CF'!$C$9:$C$59,0))</f>
        <v>Payroll</v>
      </c>
      <c r="E104" s="3">
        <v>103</v>
      </c>
      <c r="F104" s="2">
        <v>45226</v>
      </c>
      <c r="G104" s="3">
        <v>79849</v>
      </c>
      <c r="H104" s="4" t="s">
        <v>7</v>
      </c>
      <c r="I104" s="5">
        <v>-1160</v>
      </c>
      <c r="J104" s="5">
        <v>218130</v>
      </c>
    </row>
    <row r="105" spans="1:10" x14ac:dyDescent="0.3">
      <c r="A105" s="11">
        <f t="shared" si="2"/>
        <v>45227</v>
      </c>
      <c r="B105" t="str">
        <f t="shared" si="3"/>
        <v>104CHECK</v>
      </c>
      <c r="C105" t="str" cm="1">
        <f t="array" ref="C105">IFERROR(INDEX(Table1[Category],MATCH(B105,Table1[Unique ID Matches],0)),INDEX(Table2[Category],MATCH(TRUE,ISNUMBER(SEARCH(Table2[Unique ID Contains],B105)),0)))</f>
        <v>Payroll</v>
      </c>
      <c r="D105" t="str">
        <f>INDEX('13 weeks CF'!$C$9:$C$59,MATCH(C105,'13 weeks CF'!$C$9:$C$59,0))</f>
        <v>Payroll</v>
      </c>
      <c r="E105" s="3">
        <v>104</v>
      </c>
      <c r="F105" s="2">
        <v>45226</v>
      </c>
      <c r="G105" s="3">
        <v>79850</v>
      </c>
      <c r="H105" s="4" t="s">
        <v>7</v>
      </c>
      <c r="I105" s="5">
        <v>-1400</v>
      </c>
      <c r="J105" s="5">
        <v>216730</v>
      </c>
    </row>
    <row r="106" spans="1:10" x14ac:dyDescent="0.3">
      <c r="A106" s="11">
        <f t="shared" si="2"/>
        <v>45227</v>
      </c>
      <c r="B106" t="str">
        <f t="shared" si="3"/>
        <v>105CHECK</v>
      </c>
      <c r="C106" t="str" cm="1">
        <f t="array" ref="C106">IFERROR(INDEX(Table1[Category],MATCH(B106,Table1[Unique ID Matches],0)),INDEX(Table2[Category],MATCH(TRUE,ISNUMBER(SEARCH(Table2[Unique ID Contains],B106)),0)))</f>
        <v>Payroll</v>
      </c>
      <c r="D106" t="str">
        <f>INDEX('13 weeks CF'!$C$9:$C$59,MATCH(C106,'13 weeks CF'!$C$9:$C$59,0))</f>
        <v>Payroll</v>
      </c>
      <c r="E106" s="3">
        <v>105</v>
      </c>
      <c r="F106" s="2">
        <v>45226</v>
      </c>
      <c r="G106" s="3">
        <v>79851</v>
      </c>
      <c r="H106" s="4" t="s">
        <v>7</v>
      </c>
      <c r="I106" s="5">
        <v>-1260</v>
      </c>
      <c r="J106" s="5">
        <v>215470</v>
      </c>
    </row>
    <row r="107" spans="1:10" x14ac:dyDescent="0.3">
      <c r="A107" s="11">
        <f t="shared" si="2"/>
        <v>45227</v>
      </c>
      <c r="B107" t="str">
        <f t="shared" si="3"/>
        <v>106CHECK</v>
      </c>
      <c r="C107" t="str" cm="1">
        <f t="array" ref="C107">IFERROR(INDEX(Table1[Category],MATCH(B107,Table1[Unique ID Matches],0)),INDEX(Table2[Category],MATCH(TRUE,ISNUMBER(SEARCH(Table2[Unique ID Contains],B107)),0)))</f>
        <v>Payroll</v>
      </c>
      <c r="D107" t="str">
        <f>INDEX('13 weeks CF'!$C$9:$C$59,MATCH(C107,'13 weeks CF'!$C$9:$C$59,0))</f>
        <v>Payroll</v>
      </c>
      <c r="E107" s="3">
        <v>106</v>
      </c>
      <c r="F107" s="2">
        <v>45226</v>
      </c>
      <c r="G107" s="3">
        <v>79854</v>
      </c>
      <c r="H107" s="4" t="s">
        <v>7</v>
      </c>
      <c r="I107" s="5">
        <v>-1400</v>
      </c>
      <c r="J107" s="5">
        <v>214070</v>
      </c>
    </row>
    <row r="108" spans="1:10" x14ac:dyDescent="0.3">
      <c r="A108" s="11">
        <f t="shared" si="2"/>
        <v>45227</v>
      </c>
      <c r="B108" t="str">
        <f t="shared" si="3"/>
        <v>107CHECK</v>
      </c>
      <c r="C108" t="str" cm="1">
        <f t="array" ref="C108">IFERROR(INDEX(Table1[Category],MATCH(B108,Table1[Unique ID Matches],0)),INDEX(Table2[Category],MATCH(TRUE,ISNUMBER(SEARCH(Table2[Unique ID Contains],B108)),0)))</f>
        <v>Payroll</v>
      </c>
      <c r="D108" t="str">
        <f>INDEX('13 weeks CF'!$C$9:$C$59,MATCH(C108,'13 weeks CF'!$C$9:$C$59,0))</f>
        <v>Payroll</v>
      </c>
      <c r="E108" s="3">
        <v>107</v>
      </c>
      <c r="F108" s="2">
        <v>45226</v>
      </c>
      <c r="G108" s="3">
        <v>79855</v>
      </c>
      <c r="H108" s="4" t="s">
        <v>7</v>
      </c>
      <c r="I108" s="5">
        <v>-1310</v>
      </c>
      <c r="J108" s="5">
        <v>212760</v>
      </c>
    </row>
    <row r="109" spans="1:10" x14ac:dyDescent="0.3">
      <c r="A109" s="11">
        <f t="shared" si="2"/>
        <v>45227</v>
      </c>
      <c r="B109" t="str">
        <f t="shared" si="3"/>
        <v>108CHECK</v>
      </c>
      <c r="C109" t="str" cm="1">
        <f t="array" ref="C109">IFERROR(INDEX(Table1[Category],MATCH(B109,Table1[Unique ID Matches],0)),INDEX(Table2[Category],MATCH(TRUE,ISNUMBER(SEARCH(Table2[Unique ID Contains],B109)),0)))</f>
        <v>Payroll</v>
      </c>
      <c r="D109" t="str">
        <f>INDEX('13 weeks CF'!$C$9:$C$59,MATCH(C109,'13 weeks CF'!$C$9:$C$59,0))</f>
        <v>Payroll</v>
      </c>
      <c r="E109" s="3">
        <v>108</v>
      </c>
      <c r="F109" s="2">
        <v>45226</v>
      </c>
      <c r="G109" s="3">
        <v>79856</v>
      </c>
      <c r="H109" s="4" t="s">
        <v>7</v>
      </c>
      <c r="I109" s="5">
        <v>-1350</v>
      </c>
      <c r="J109" s="5">
        <v>211410</v>
      </c>
    </row>
    <row r="110" spans="1:10" x14ac:dyDescent="0.3">
      <c r="A110" s="11">
        <f t="shared" si="2"/>
        <v>45227</v>
      </c>
      <c r="B110" t="str">
        <f t="shared" si="3"/>
        <v>109CHECK</v>
      </c>
      <c r="C110" t="str" cm="1">
        <f t="array" ref="C110">IFERROR(INDEX(Table1[Category],MATCH(B110,Table1[Unique ID Matches],0)),INDEX(Table2[Category],MATCH(TRUE,ISNUMBER(SEARCH(Table2[Unique ID Contains],B110)),0)))</f>
        <v>Payroll</v>
      </c>
      <c r="D110" t="str">
        <f>INDEX('13 weeks CF'!$C$9:$C$59,MATCH(C110,'13 weeks CF'!$C$9:$C$59,0))</f>
        <v>Payroll</v>
      </c>
      <c r="E110" s="3">
        <v>109</v>
      </c>
      <c r="F110" s="2">
        <v>45226</v>
      </c>
      <c r="G110" s="3">
        <v>79858</v>
      </c>
      <c r="H110" s="4" t="s">
        <v>7</v>
      </c>
      <c r="I110" s="5">
        <v>-1200</v>
      </c>
      <c r="J110" s="5">
        <v>210210</v>
      </c>
    </row>
    <row r="111" spans="1:10" x14ac:dyDescent="0.3">
      <c r="A111" s="11">
        <f t="shared" si="2"/>
        <v>45234</v>
      </c>
      <c r="B111" t="str">
        <f t="shared" si="3"/>
        <v>110WEB AUTHORIZED PMT KRYPTONIX</v>
      </c>
      <c r="C111" t="str" cm="1">
        <f t="array" ref="C111">IFERROR(INDEX(Table1[Category],MATCH(B111,Table1[Unique ID Matches],0)),INDEX(Table2[Category],MATCH(TRUE,ISNUMBER(SEARCH(Table2[Unique ID Contains],B111)),0)))</f>
        <v>Dues &amp; Subscriptions</v>
      </c>
      <c r="D111" t="str">
        <f>INDEX('13 weeks CF'!$C$9:$C$59,MATCH(C111,'13 weeks CF'!$C$9:$C$59,0))</f>
        <v>Dues &amp; Subscriptions</v>
      </c>
      <c r="E111" s="3">
        <v>110</v>
      </c>
      <c r="F111" s="2">
        <v>45229</v>
      </c>
      <c r="G111" s="3" t="s">
        <v>5</v>
      </c>
      <c r="H111" s="4" t="s">
        <v>6</v>
      </c>
      <c r="I111" s="5">
        <v>-80</v>
      </c>
      <c r="J111" s="5">
        <v>210130</v>
      </c>
    </row>
    <row r="112" spans="1:10" x14ac:dyDescent="0.3">
      <c r="A112" s="11">
        <f t="shared" si="2"/>
        <v>45234</v>
      </c>
      <c r="B112" t="str">
        <f t="shared" si="3"/>
        <v>111WEB AUTHORIZED PMT KRYPTONIX</v>
      </c>
      <c r="C112" t="str" cm="1">
        <f t="array" ref="C112">IFERROR(INDEX(Table1[Category],MATCH(B112,Table1[Unique ID Matches],0)),INDEX(Table2[Category],MATCH(TRUE,ISNUMBER(SEARCH(Table2[Unique ID Contains],B112)),0)))</f>
        <v>Dues &amp; Subscriptions</v>
      </c>
      <c r="D112" t="str">
        <f>INDEX('13 weeks CF'!$C$9:$C$59,MATCH(C112,'13 weeks CF'!$C$9:$C$59,0))</f>
        <v>Dues &amp; Subscriptions</v>
      </c>
      <c r="E112" s="3">
        <v>111</v>
      </c>
      <c r="F112" s="2">
        <v>45229</v>
      </c>
      <c r="G112" s="3" t="s">
        <v>5</v>
      </c>
      <c r="H112" s="4" t="s">
        <v>6</v>
      </c>
      <c r="I112" s="5">
        <v>-230</v>
      </c>
      <c r="J112" s="5">
        <v>209900</v>
      </c>
    </row>
    <row r="113" spans="1:10" x14ac:dyDescent="0.3">
      <c r="A113" s="11">
        <f t="shared" si="2"/>
        <v>45234</v>
      </c>
      <c r="B113" t="str">
        <f t="shared" si="3"/>
        <v>112ELECTRONIC WITHDRAWAL FRACTALIX</v>
      </c>
      <c r="C113" t="str" cm="1">
        <f t="array" ref="C113">IFERROR(INDEX(Table1[Category],MATCH(B113,Table1[Unique ID Matches],0)),INDEX(Table2[Category],MATCH(TRUE,ISNUMBER(SEARCH(Table2[Unique ID Contains],B113)),0)))</f>
        <v>Lease Payments</v>
      </c>
      <c r="D113" t="str">
        <f>INDEX('13 weeks CF'!$C$9:$C$59,MATCH(C113,'13 weeks CF'!$C$9:$C$59,0))</f>
        <v>Lease Payments</v>
      </c>
      <c r="E113" s="3">
        <v>112</v>
      </c>
      <c r="F113" s="2">
        <v>45229</v>
      </c>
      <c r="G113" s="3" t="s">
        <v>5</v>
      </c>
      <c r="H113" s="4" t="s">
        <v>14</v>
      </c>
      <c r="I113" s="5">
        <v>-1350</v>
      </c>
      <c r="J113" s="5">
        <v>208550</v>
      </c>
    </row>
    <row r="114" spans="1:10" x14ac:dyDescent="0.3">
      <c r="A114" s="11">
        <f t="shared" si="2"/>
        <v>45234</v>
      </c>
      <c r="B114" t="str">
        <f t="shared" si="3"/>
        <v>113CHECK</v>
      </c>
      <c r="C114" t="str" cm="1">
        <f t="array" ref="C114">IFERROR(INDEX(Table1[Category],MATCH(B114,Table1[Unique ID Matches],0)),INDEX(Table2[Category],MATCH(TRUE,ISNUMBER(SEARCH(Table2[Unique ID Contains],B114)),0)))</f>
        <v>Payroll</v>
      </c>
      <c r="D114" t="str">
        <f>INDEX('13 weeks CF'!$C$9:$C$59,MATCH(C114,'13 weeks CF'!$C$9:$C$59,0))</f>
        <v>Payroll</v>
      </c>
      <c r="E114" s="3">
        <v>113</v>
      </c>
      <c r="F114" s="2">
        <v>45229</v>
      </c>
      <c r="G114" s="3">
        <v>79735</v>
      </c>
      <c r="H114" s="4" t="s">
        <v>7</v>
      </c>
      <c r="I114" s="5">
        <v>-1130</v>
      </c>
      <c r="J114" s="5">
        <v>207420</v>
      </c>
    </row>
    <row r="115" spans="1:10" x14ac:dyDescent="0.3">
      <c r="A115" s="11">
        <f t="shared" si="2"/>
        <v>45234</v>
      </c>
      <c r="B115" t="str">
        <f t="shared" si="3"/>
        <v>114CHECK</v>
      </c>
      <c r="C115" t="str" cm="1">
        <f t="array" ref="C115">IFERROR(INDEX(Table1[Category],MATCH(B115,Table1[Unique ID Matches],0)),INDEX(Table2[Category],MATCH(TRUE,ISNUMBER(SEARCH(Table2[Unique ID Contains],B115)),0)))</f>
        <v>Payroll</v>
      </c>
      <c r="D115" t="str">
        <f>INDEX('13 weeks CF'!$C$9:$C$59,MATCH(C115,'13 weeks CF'!$C$9:$C$59,0))</f>
        <v>Payroll</v>
      </c>
      <c r="E115" s="3">
        <v>114</v>
      </c>
      <c r="F115" s="2">
        <v>45229</v>
      </c>
      <c r="G115" s="3">
        <v>79808</v>
      </c>
      <c r="H115" s="4" t="s">
        <v>7</v>
      </c>
      <c r="I115" s="5">
        <v>-100</v>
      </c>
      <c r="J115" s="5">
        <v>207320</v>
      </c>
    </row>
    <row r="116" spans="1:10" x14ac:dyDescent="0.3">
      <c r="A116" s="11">
        <f t="shared" si="2"/>
        <v>45234</v>
      </c>
      <c r="B116" t="str">
        <f t="shared" si="3"/>
        <v>115CHECK</v>
      </c>
      <c r="C116" t="str" cm="1">
        <f t="array" ref="C116">IFERROR(INDEX(Table1[Category],MATCH(B116,Table1[Unique ID Matches],0)),INDEX(Table2[Category],MATCH(TRUE,ISNUMBER(SEARCH(Table2[Unique ID Contains],B116)),0)))</f>
        <v>Payroll</v>
      </c>
      <c r="D116" t="str">
        <f>INDEX('13 weeks CF'!$C$9:$C$59,MATCH(C116,'13 weeks CF'!$C$9:$C$59,0))</f>
        <v>Payroll</v>
      </c>
      <c r="E116" s="3">
        <v>115</v>
      </c>
      <c r="F116" s="2">
        <v>45229</v>
      </c>
      <c r="G116" s="3">
        <v>79812</v>
      </c>
      <c r="H116" s="4" t="s">
        <v>7</v>
      </c>
      <c r="I116" s="5">
        <v>-1210</v>
      </c>
      <c r="J116" s="5">
        <v>206110</v>
      </c>
    </row>
    <row r="117" spans="1:10" x14ac:dyDescent="0.3">
      <c r="A117" s="11">
        <f t="shared" si="2"/>
        <v>45234</v>
      </c>
      <c r="B117" t="str">
        <f t="shared" si="3"/>
        <v>116CHECK</v>
      </c>
      <c r="C117" t="str" cm="1">
        <f t="array" ref="C117">IFERROR(INDEX(Table1[Category],MATCH(B117,Table1[Unique ID Matches],0)),INDEX(Table2[Category],MATCH(TRUE,ISNUMBER(SEARCH(Table2[Unique ID Contains],B117)),0)))</f>
        <v>Payroll</v>
      </c>
      <c r="D117" t="str">
        <f>INDEX('13 weeks CF'!$C$9:$C$59,MATCH(C117,'13 weeks CF'!$C$9:$C$59,0))</f>
        <v>Payroll</v>
      </c>
      <c r="E117" s="3">
        <v>116</v>
      </c>
      <c r="F117" s="2">
        <v>45229</v>
      </c>
      <c r="G117" s="3">
        <v>79820</v>
      </c>
      <c r="H117" s="4" t="s">
        <v>7</v>
      </c>
      <c r="I117" s="5">
        <v>-1190</v>
      </c>
      <c r="J117" s="5">
        <v>204920</v>
      </c>
    </row>
    <row r="118" spans="1:10" x14ac:dyDescent="0.3">
      <c r="A118" s="11">
        <f t="shared" si="2"/>
        <v>45234</v>
      </c>
      <c r="B118" t="str">
        <f t="shared" si="3"/>
        <v>117CHECK</v>
      </c>
      <c r="C118" t="str" cm="1">
        <f t="array" ref="C118">IFERROR(INDEX(Table1[Category],MATCH(B118,Table1[Unique ID Matches],0)),INDEX(Table2[Category],MATCH(TRUE,ISNUMBER(SEARCH(Table2[Unique ID Contains],B118)),0)))</f>
        <v>Payroll</v>
      </c>
      <c r="D118" t="str">
        <f>INDEX('13 weeks CF'!$C$9:$C$59,MATCH(C118,'13 weeks CF'!$C$9:$C$59,0))</f>
        <v>Payroll</v>
      </c>
      <c r="E118" s="3">
        <v>117</v>
      </c>
      <c r="F118" s="2">
        <v>45229</v>
      </c>
      <c r="G118" s="3">
        <v>79827</v>
      </c>
      <c r="H118" s="4" t="s">
        <v>7</v>
      </c>
      <c r="I118" s="5">
        <v>-1770</v>
      </c>
      <c r="J118" s="5">
        <v>203150</v>
      </c>
    </row>
    <row r="119" spans="1:10" x14ac:dyDescent="0.3">
      <c r="A119" s="11">
        <f t="shared" si="2"/>
        <v>45234</v>
      </c>
      <c r="B119" t="str">
        <f t="shared" si="3"/>
        <v>118CHECK</v>
      </c>
      <c r="C119" t="str" cm="1">
        <f t="array" ref="C119">IFERROR(INDEX(Table1[Category],MATCH(B119,Table1[Unique ID Matches],0)),INDEX(Table2[Category],MATCH(TRUE,ISNUMBER(SEARCH(Table2[Unique ID Contains],B119)),0)))</f>
        <v>Payroll</v>
      </c>
      <c r="D119" t="str">
        <f>INDEX('13 weeks CF'!$C$9:$C$59,MATCH(C119,'13 weeks CF'!$C$9:$C$59,0))</f>
        <v>Payroll</v>
      </c>
      <c r="E119" s="3">
        <v>118</v>
      </c>
      <c r="F119" s="2">
        <v>45229</v>
      </c>
      <c r="G119" s="3">
        <v>79846</v>
      </c>
      <c r="H119" s="4" t="s">
        <v>7</v>
      </c>
      <c r="I119" s="5">
        <v>-990</v>
      </c>
      <c r="J119" s="5">
        <v>202160</v>
      </c>
    </row>
    <row r="120" spans="1:10" x14ac:dyDescent="0.3">
      <c r="A120" s="11">
        <f t="shared" si="2"/>
        <v>45234</v>
      </c>
      <c r="B120" t="str">
        <f t="shared" si="3"/>
        <v>119ELECTRONIC WITHDRAWAL HYPERTECH</v>
      </c>
      <c r="C120" t="str" cm="1">
        <f t="array" ref="C120">IFERROR(INDEX(Table1[Category],MATCH(B120,Table1[Unique ID Matches],0)),INDEX(Table2[Category],MATCH(TRUE,ISNUMBER(SEARCH(Table2[Unique ID Contains],B120)),0)))</f>
        <v>Marketing</v>
      </c>
      <c r="D120" t="str">
        <f>INDEX('13 weeks CF'!$C$9:$C$59,MATCH(C120,'13 weeks CF'!$C$9:$C$59,0))</f>
        <v>Marketing</v>
      </c>
      <c r="E120" s="3">
        <v>119</v>
      </c>
      <c r="F120" s="2">
        <v>45230</v>
      </c>
      <c r="G120" s="3" t="s">
        <v>5</v>
      </c>
      <c r="H120" s="4" t="s">
        <v>16</v>
      </c>
      <c r="I120" s="5">
        <v>-1510</v>
      </c>
      <c r="J120" s="5">
        <v>200650</v>
      </c>
    </row>
    <row r="121" spans="1:10" x14ac:dyDescent="0.3">
      <c r="A121" s="11">
        <f t="shared" si="2"/>
        <v>45234</v>
      </c>
      <c r="B121" t="str">
        <f t="shared" si="3"/>
        <v>120ELECTRONIC WITHDRAWAL IRS</v>
      </c>
      <c r="C121" t="str" cm="1">
        <f t="array" ref="C121">IFERROR(INDEX(Table1[Category],MATCH(B121,Table1[Unique ID Matches],0)),INDEX(Table2[Category],MATCH(TRUE,ISNUMBER(SEARCH(Table2[Unique ID Contains],B121)),0)))</f>
        <v>Tax Distributions</v>
      </c>
      <c r="D121" t="str">
        <f>INDEX('13 weeks CF'!$C$9:$C$59,MATCH(C121,'13 weeks CF'!$C$9:$C$59,0))</f>
        <v>Tax Distributions</v>
      </c>
      <c r="E121" s="3">
        <v>120</v>
      </c>
      <c r="F121" s="2">
        <v>45230</v>
      </c>
      <c r="G121" s="3" t="s">
        <v>5</v>
      </c>
      <c r="H121" s="4" t="s">
        <v>12</v>
      </c>
      <c r="I121" s="5">
        <v>-1140</v>
      </c>
      <c r="J121" s="5">
        <v>199510</v>
      </c>
    </row>
    <row r="122" spans="1:10" x14ac:dyDescent="0.3">
      <c r="A122" s="11">
        <f t="shared" si="2"/>
        <v>45234</v>
      </c>
      <c r="B122" t="str">
        <f t="shared" si="3"/>
        <v>121CHECK</v>
      </c>
      <c r="C122" t="str" cm="1">
        <f t="array" ref="C122">IFERROR(INDEX(Table1[Category],MATCH(B122,Table1[Unique ID Matches],0)),INDEX(Table2[Category],MATCH(TRUE,ISNUMBER(SEARCH(Table2[Unique ID Contains],B122)),0)))</f>
        <v>Payroll</v>
      </c>
      <c r="D122" t="str">
        <f>INDEX('13 weeks CF'!$C$9:$C$59,MATCH(C122,'13 weeks CF'!$C$9:$C$59,0))</f>
        <v>Payroll</v>
      </c>
      <c r="E122" s="3">
        <v>121</v>
      </c>
      <c r="F122" s="2">
        <v>45230</v>
      </c>
      <c r="G122" s="3">
        <v>79721</v>
      </c>
      <c r="H122" s="4" t="s">
        <v>7</v>
      </c>
      <c r="I122" s="5">
        <v>-600</v>
      </c>
      <c r="J122" s="5">
        <v>198910</v>
      </c>
    </row>
    <row r="123" spans="1:10" x14ac:dyDescent="0.3">
      <c r="A123" s="11">
        <f t="shared" si="2"/>
        <v>45234</v>
      </c>
      <c r="B123" t="str">
        <f t="shared" si="3"/>
        <v>122ELECTRONIC DEPOSIT ZONIX</v>
      </c>
      <c r="C123" t="str" cm="1">
        <f t="array" ref="C123">IFERROR(INDEX(Table1[Category],MATCH(B123,Table1[Unique ID Matches],0)),INDEX(Table2[Category],MATCH(TRUE,ISNUMBER(SEARCH(Table2[Unique ID Contains],B123)),0)))</f>
        <v>Invoiced AR + New Revenue</v>
      </c>
      <c r="D123" t="str">
        <f>INDEX('13 weeks CF'!$C$9:$C$59,MATCH(C123,'13 weeks CF'!$C$9:$C$59,0))</f>
        <v>Invoiced AR + New Revenue</v>
      </c>
      <c r="E123" s="3">
        <v>122</v>
      </c>
      <c r="F123" s="2">
        <v>45231</v>
      </c>
      <c r="G123" s="3" t="s">
        <v>8</v>
      </c>
      <c r="H123" s="4" t="s">
        <v>17</v>
      </c>
      <c r="I123" s="5">
        <v>131830</v>
      </c>
      <c r="J123" s="5">
        <v>330740</v>
      </c>
    </row>
    <row r="124" spans="1:10" x14ac:dyDescent="0.3">
      <c r="A124" s="11">
        <f t="shared" si="2"/>
        <v>45234</v>
      </c>
      <c r="B124" t="str">
        <f t="shared" si="3"/>
        <v>123ELECTRONIC WITHDRAWAL GLOWTECH</v>
      </c>
      <c r="C124" t="str" cm="1">
        <f t="array" ref="C124">IFERROR(INDEX(Table1[Category],MATCH(B124,Table1[Unique ID Matches],0)),INDEX(Table2[Category],MATCH(TRUE,ISNUMBER(SEARCH(Table2[Unique ID Contains],B124)),0)))</f>
        <v>Technology</v>
      </c>
      <c r="D124" t="str">
        <f>INDEX('13 weeks CF'!$C$9:$C$59,MATCH(C124,'13 weeks CF'!$C$9:$C$59,0))</f>
        <v>Technology</v>
      </c>
      <c r="E124" s="3">
        <v>123</v>
      </c>
      <c r="F124" s="2">
        <v>45231</v>
      </c>
      <c r="G124" s="3" t="s">
        <v>5</v>
      </c>
      <c r="H124" s="4" t="s">
        <v>10</v>
      </c>
      <c r="I124" s="5">
        <v>-1150</v>
      </c>
      <c r="J124" s="5">
        <v>329590</v>
      </c>
    </row>
    <row r="125" spans="1:10" x14ac:dyDescent="0.3">
      <c r="A125" s="11">
        <f t="shared" si="2"/>
        <v>45234</v>
      </c>
      <c r="B125" t="str">
        <f t="shared" si="3"/>
        <v>124WEB AUTHORIZED PMT LUCENTIX</v>
      </c>
      <c r="C125" t="str" cm="1">
        <f t="array" ref="C125">IFERROR(INDEX(Table1[Category],MATCH(B125,Table1[Unique ID Matches],0)),INDEX(Table2[Category],MATCH(TRUE,ISNUMBER(SEARCH(Table2[Unique ID Contains],B125)),0)))</f>
        <v>Vehicles</v>
      </c>
      <c r="D125" t="str">
        <f>INDEX('13 weeks CF'!$C$9:$C$59,MATCH(C125,'13 weeks CF'!$C$9:$C$59,0))</f>
        <v>Vehicles</v>
      </c>
      <c r="E125" s="3">
        <v>124</v>
      </c>
      <c r="F125" s="2">
        <v>45231</v>
      </c>
      <c r="G125" s="3" t="s">
        <v>5</v>
      </c>
      <c r="H125" s="4" t="s">
        <v>18</v>
      </c>
      <c r="I125" s="5">
        <v>-4480</v>
      </c>
      <c r="J125" s="5">
        <v>325110</v>
      </c>
    </row>
    <row r="126" spans="1:10" x14ac:dyDescent="0.3">
      <c r="A126" s="11">
        <f t="shared" si="2"/>
        <v>45234</v>
      </c>
      <c r="B126" t="str">
        <f t="shared" si="3"/>
        <v>125ELECTRONIC WITHDRAWAL IRS</v>
      </c>
      <c r="C126" t="str" cm="1">
        <f t="array" ref="C126">IFERROR(INDEX(Table1[Category],MATCH(B126,Table1[Unique ID Matches],0)),INDEX(Table2[Category],MATCH(TRUE,ISNUMBER(SEARCH(Table2[Unique ID Contains],B126)),0)))</f>
        <v>Tax Distributions</v>
      </c>
      <c r="D126" t="str">
        <f>INDEX('13 weeks CF'!$C$9:$C$59,MATCH(C126,'13 weeks CF'!$C$9:$C$59,0))</f>
        <v>Tax Distributions</v>
      </c>
      <c r="E126" s="3">
        <v>125</v>
      </c>
      <c r="F126" s="2">
        <v>45231</v>
      </c>
      <c r="G126" s="3" t="s">
        <v>5</v>
      </c>
      <c r="H126" s="4" t="s">
        <v>12</v>
      </c>
      <c r="I126" s="5">
        <v>-19800</v>
      </c>
      <c r="J126" s="5">
        <v>305310</v>
      </c>
    </row>
    <row r="127" spans="1:10" x14ac:dyDescent="0.3">
      <c r="A127" s="11">
        <f t="shared" si="2"/>
        <v>45234</v>
      </c>
      <c r="B127" t="str">
        <f t="shared" si="3"/>
        <v>126ELECTRONIC WITHDRAWAL STATE DMV</v>
      </c>
      <c r="C127" t="str" cm="1">
        <f t="array" ref="C127">IFERROR(INDEX(Table1[Category],MATCH(B127,Table1[Unique ID Matches],0)),INDEX(Table2[Category],MATCH(TRUE,ISNUMBER(SEARCH(Table2[Unique ID Contains],B127)),0)))</f>
        <v>Vehicles</v>
      </c>
      <c r="D127" t="str">
        <f>INDEX('13 weeks CF'!$C$9:$C$59,MATCH(C127,'13 weeks CF'!$C$9:$C$59,0))</f>
        <v>Vehicles</v>
      </c>
      <c r="E127" s="3">
        <v>126</v>
      </c>
      <c r="F127" s="2">
        <v>45231</v>
      </c>
      <c r="G127" s="3" t="s">
        <v>5</v>
      </c>
      <c r="H127" s="4" t="s">
        <v>19</v>
      </c>
      <c r="I127" s="5">
        <v>-300</v>
      </c>
      <c r="J127" s="5">
        <v>305010</v>
      </c>
    </row>
    <row r="128" spans="1:10" x14ac:dyDescent="0.3">
      <c r="A128" s="11">
        <f t="shared" si="2"/>
        <v>45234</v>
      </c>
      <c r="B128" t="str">
        <f t="shared" si="3"/>
        <v>127ELECTRONIC WITHDRAWAL STATE DMV</v>
      </c>
      <c r="C128" t="str" cm="1">
        <f t="array" ref="C128">IFERROR(INDEX(Table1[Category],MATCH(B128,Table1[Unique ID Matches],0)),INDEX(Table2[Category],MATCH(TRUE,ISNUMBER(SEARCH(Table2[Unique ID Contains],B128)),0)))</f>
        <v>Vehicles</v>
      </c>
      <c r="D128" t="str">
        <f>INDEX('13 weeks CF'!$C$9:$C$59,MATCH(C128,'13 weeks CF'!$C$9:$C$59,0))</f>
        <v>Vehicles</v>
      </c>
      <c r="E128" s="3">
        <v>127</v>
      </c>
      <c r="F128" s="2">
        <v>45231</v>
      </c>
      <c r="G128" s="3" t="s">
        <v>5</v>
      </c>
      <c r="H128" s="4" t="s">
        <v>19</v>
      </c>
      <c r="I128" s="5">
        <v>-2880</v>
      </c>
      <c r="J128" s="5">
        <v>302130</v>
      </c>
    </row>
    <row r="129" spans="1:10" x14ac:dyDescent="0.3">
      <c r="A129" s="11">
        <f t="shared" si="2"/>
        <v>45234</v>
      </c>
      <c r="B129" t="str">
        <f t="shared" si="3"/>
        <v>128DEPOSIT</v>
      </c>
      <c r="C129" t="str" cm="1">
        <f t="array" ref="C129">IFERROR(INDEX(Table1[Category],MATCH(B129,Table1[Unique ID Matches],0)),INDEX(Table2[Category],MATCH(TRUE,ISNUMBER(SEARCH(Table2[Unique ID Contains],B129)),0)))</f>
        <v>Invoiced AR + New Revenue</v>
      </c>
      <c r="D129" t="str">
        <f>INDEX('13 weeks CF'!$C$9:$C$59,MATCH(C129,'13 weeks CF'!$C$9:$C$59,0))</f>
        <v>Invoiced AR + New Revenue</v>
      </c>
      <c r="E129" s="3">
        <v>128</v>
      </c>
      <c r="F129" s="2">
        <v>45232</v>
      </c>
      <c r="G129" s="3" t="s">
        <v>8</v>
      </c>
      <c r="H129" s="4" t="s">
        <v>9</v>
      </c>
      <c r="I129" s="5">
        <v>122750</v>
      </c>
      <c r="J129" s="5">
        <v>424880</v>
      </c>
    </row>
    <row r="130" spans="1:10" x14ac:dyDescent="0.3">
      <c r="A130" s="11">
        <f t="shared" ref="A130:A193" si="4">F130+7-WEEKDAY(F130+7-7)</f>
        <v>45234</v>
      </c>
      <c r="B130" t="str">
        <f t="shared" ref="B130:B193" si="5">E130&amp;H130</f>
        <v>129DEPOSIT</v>
      </c>
      <c r="C130" t="str" cm="1">
        <f t="array" ref="C130">IFERROR(INDEX(Table1[Category],MATCH(B130,Table1[Unique ID Matches],0)),INDEX(Table2[Category],MATCH(TRUE,ISNUMBER(SEARCH(Table2[Unique ID Contains],B130)),0)))</f>
        <v>Invoiced AR + New Revenue</v>
      </c>
      <c r="D130" t="str">
        <f>INDEX('13 weeks CF'!$C$9:$C$59,MATCH(C130,'13 weeks CF'!$C$9:$C$59,0))</f>
        <v>Invoiced AR + New Revenue</v>
      </c>
      <c r="E130" s="3">
        <v>129</v>
      </c>
      <c r="F130" s="2">
        <v>45232</v>
      </c>
      <c r="G130" s="3" t="s">
        <v>8</v>
      </c>
      <c r="H130" s="4" t="s">
        <v>9</v>
      </c>
      <c r="I130" s="5">
        <v>71280</v>
      </c>
      <c r="J130" s="5">
        <v>496160</v>
      </c>
    </row>
    <row r="131" spans="1:10" x14ac:dyDescent="0.3">
      <c r="A131" s="11">
        <f t="shared" si="4"/>
        <v>45234</v>
      </c>
      <c r="B131" t="str">
        <f t="shared" si="5"/>
        <v>130ELECTRONIC WITHDRAWAL BLITZIX</v>
      </c>
      <c r="C131" t="str" cm="1">
        <f t="array" ref="C131">IFERROR(INDEX(Table1[Category],MATCH(B131,Table1[Unique ID Matches],0)),INDEX(Table2[Category],MATCH(TRUE,ISNUMBER(SEARCH(Table2[Unique ID Contains],B131)),0)))</f>
        <v>Other Operating Outflows</v>
      </c>
      <c r="D131" t="str">
        <f>INDEX('13 weeks CF'!$C$9:$C$59,MATCH(C131,'13 weeks CF'!$C$9:$C$59,0))</f>
        <v>Other Operating Outflows</v>
      </c>
      <c r="E131" s="3">
        <v>130</v>
      </c>
      <c r="F131" s="2">
        <v>45232</v>
      </c>
      <c r="G131" s="3" t="s">
        <v>5</v>
      </c>
      <c r="H131" s="4" t="s">
        <v>20</v>
      </c>
      <c r="I131" s="5">
        <v>-1780</v>
      </c>
      <c r="J131" s="5">
        <v>494380</v>
      </c>
    </row>
    <row r="132" spans="1:10" x14ac:dyDescent="0.3">
      <c r="A132" s="11">
        <f t="shared" si="4"/>
        <v>45234</v>
      </c>
      <c r="B132" t="str">
        <f t="shared" si="5"/>
        <v>131ELECTRONIC WITHDRAWAL STATE DEPT REVENUE</v>
      </c>
      <c r="C132" t="str" cm="1">
        <f t="array" ref="C132">IFERROR(INDEX(Table1[Category],MATCH(B132,Table1[Unique ID Matches],0)),INDEX(Table2[Category],MATCH(TRUE,ISNUMBER(SEARCH(Table2[Unique ID Contains],B132)),0)))</f>
        <v>Tax Distributions</v>
      </c>
      <c r="D132" t="str">
        <f>INDEX('13 weeks CF'!$C$9:$C$59,MATCH(C132,'13 weeks CF'!$C$9:$C$59,0))</f>
        <v>Tax Distributions</v>
      </c>
      <c r="E132" s="3">
        <v>131</v>
      </c>
      <c r="F132" s="2">
        <v>45232</v>
      </c>
      <c r="G132" s="3" t="s">
        <v>5</v>
      </c>
      <c r="H132" s="4" t="s">
        <v>11</v>
      </c>
      <c r="I132" s="5">
        <v>-3800</v>
      </c>
      <c r="J132" s="5">
        <v>490580</v>
      </c>
    </row>
    <row r="133" spans="1:10" x14ac:dyDescent="0.3">
      <c r="A133" s="11">
        <f t="shared" si="4"/>
        <v>45234</v>
      </c>
      <c r="B133" t="str">
        <f t="shared" si="5"/>
        <v>132ELECTRONIC WITHDRAWAL CAPITALONE</v>
      </c>
      <c r="C133" t="str" cm="1">
        <f t="array" ref="C133">IFERROR(INDEX(Table1[Category],MATCH(B133,Table1[Unique ID Matches],0)),INDEX(Table2[Category],MATCH(TRUE,ISNUMBER(SEARCH(Table2[Unique ID Contains],B133)),0)))</f>
        <v>Credit Cards</v>
      </c>
      <c r="D133" t="str">
        <f>INDEX('13 weeks CF'!$C$9:$C$59,MATCH(C133,'13 weeks CF'!$C$9:$C$59,0))</f>
        <v>Credit Cards</v>
      </c>
      <c r="E133" s="3">
        <v>132</v>
      </c>
      <c r="F133" s="2">
        <v>45232</v>
      </c>
      <c r="G133" s="3" t="s">
        <v>5</v>
      </c>
      <c r="H133" s="4" t="s">
        <v>21</v>
      </c>
      <c r="I133" s="5">
        <v>-6270</v>
      </c>
      <c r="J133" s="5">
        <v>484310</v>
      </c>
    </row>
    <row r="134" spans="1:10" x14ac:dyDescent="0.3">
      <c r="A134" s="11">
        <f t="shared" si="4"/>
        <v>45234</v>
      </c>
      <c r="B134" t="str">
        <f t="shared" si="5"/>
        <v>133ELECTRONIC WITHDRAWAL PAYROLL</v>
      </c>
      <c r="C134" t="str" cm="1">
        <f t="array" ref="C134">IFERROR(INDEX(Table1[Category],MATCH(B134,Table1[Unique ID Matches],0)),INDEX(Table2[Category],MATCH(TRUE,ISNUMBER(SEARCH(Table2[Unique ID Contains],B134)),0)))</f>
        <v>Payroll</v>
      </c>
      <c r="D134" t="str">
        <f>INDEX('13 weeks CF'!$C$9:$C$59,MATCH(C134,'13 weeks CF'!$C$9:$C$59,0))</f>
        <v>Payroll</v>
      </c>
      <c r="E134" s="3">
        <v>133</v>
      </c>
      <c r="F134" s="2">
        <v>45232</v>
      </c>
      <c r="G134" s="3" t="s">
        <v>5</v>
      </c>
      <c r="H134" s="4" t="s">
        <v>13</v>
      </c>
      <c r="I134" s="5">
        <v>-12260</v>
      </c>
      <c r="J134" s="5">
        <v>472050</v>
      </c>
    </row>
    <row r="135" spans="1:10" x14ac:dyDescent="0.3">
      <c r="A135" s="11">
        <f t="shared" si="4"/>
        <v>45234</v>
      </c>
      <c r="B135" t="str">
        <f t="shared" si="5"/>
        <v>134ELECTRONIC WITHDRAWAL ETERNIX</v>
      </c>
      <c r="C135" t="str" cm="1">
        <f t="array" ref="C135">IFERROR(INDEX(Table1[Category],MATCH(B135,Table1[Unique ID Matches],0)),INDEX(Table2[Category],MATCH(TRUE,ISNUMBER(SEARCH(Table2[Unique ID Contains],B135)),0)))</f>
        <v>Professional Fees</v>
      </c>
      <c r="D135" t="str">
        <f>INDEX('13 weeks CF'!$C$9:$C$59,MATCH(C135,'13 weeks CF'!$C$9:$C$59,0))</f>
        <v>Professional Fees</v>
      </c>
      <c r="E135" s="3">
        <v>134</v>
      </c>
      <c r="F135" s="2">
        <v>45232</v>
      </c>
      <c r="G135" s="3" t="s">
        <v>5</v>
      </c>
      <c r="H135" s="4" t="s">
        <v>22</v>
      </c>
      <c r="I135" s="5">
        <v>-5000</v>
      </c>
      <c r="J135" s="5">
        <v>467050</v>
      </c>
    </row>
    <row r="136" spans="1:10" x14ac:dyDescent="0.3">
      <c r="A136" s="11">
        <f t="shared" si="4"/>
        <v>45234</v>
      </c>
      <c r="B136" t="str">
        <f t="shared" si="5"/>
        <v>135CHECK</v>
      </c>
      <c r="C136" t="str" cm="1">
        <f t="array" ref="C136">IFERROR(INDEX(Table1[Category],MATCH(B136,Table1[Unique ID Matches],0)),INDEX(Table2[Category],MATCH(TRUE,ISNUMBER(SEARCH(Table2[Unique ID Contains],B136)),0)))</f>
        <v>Payroll</v>
      </c>
      <c r="D136" t="str">
        <f>INDEX('13 weeks CF'!$C$9:$C$59,MATCH(C136,'13 weeks CF'!$C$9:$C$59,0))</f>
        <v>Payroll</v>
      </c>
      <c r="E136" s="3">
        <v>135</v>
      </c>
      <c r="F136" s="2">
        <v>45232</v>
      </c>
      <c r="G136" s="3">
        <v>79770</v>
      </c>
      <c r="H136" s="4" t="s">
        <v>7</v>
      </c>
      <c r="I136" s="5">
        <v>-190</v>
      </c>
      <c r="J136" s="5">
        <v>466860</v>
      </c>
    </row>
    <row r="137" spans="1:10" x14ac:dyDescent="0.3">
      <c r="A137" s="11">
        <f t="shared" si="4"/>
        <v>45234</v>
      </c>
      <c r="B137" t="str">
        <f t="shared" si="5"/>
        <v>136CHECK</v>
      </c>
      <c r="C137" t="str" cm="1">
        <f t="array" ref="C137">IFERROR(INDEX(Table1[Category],MATCH(B137,Table1[Unique ID Matches],0)),INDEX(Table2[Category],MATCH(TRUE,ISNUMBER(SEARCH(Table2[Unique ID Contains],B137)),0)))</f>
        <v>Accounts Payable</v>
      </c>
      <c r="D137" t="str">
        <f>INDEX('13 weeks CF'!$C$9:$C$59,MATCH(C137,'13 weeks CF'!$C$9:$C$59,0))</f>
        <v>Accounts Payable</v>
      </c>
      <c r="E137" s="3">
        <v>136</v>
      </c>
      <c r="F137" s="2">
        <v>45232</v>
      </c>
      <c r="G137" s="3">
        <v>79772</v>
      </c>
      <c r="H137" s="4" t="s">
        <v>7</v>
      </c>
      <c r="I137" s="5">
        <v>-3060</v>
      </c>
      <c r="J137" s="5">
        <v>463800</v>
      </c>
    </row>
    <row r="138" spans="1:10" x14ac:dyDescent="0.3">
      <c r="A138" s="11">
        <f t="shared" si="4"/>
        <v>45234</v>
      </c>
      <c r="B138" t="str">
        <f t="shared" si="5"/>
        <v>137CHECK</v>
      </c>
      <c r="C138" t="str" cm="1">
        <f t="array" ref="C138">IFERROR(INDEX(Table1[Category],MATCH(B138,Table1[Unique ID Matches],0)),INDEX(Table2[Category],MATCH(TRUE,ISNUMBER(SEARCH(Table2[Unique ID Contains],B138)),0)))</f>
        <v>Payroll</v>
      </c>
      <c r="D138" t="str">
        <f>INDEX('13 weeks CF'!$C$9:$C$59,MATCH(C138,'13 weeks CF'!$C$9:$C$59,0))</f>
        <v>Payroll</v>
      </c>
      <c r="E138" s="3">
        <v>137</v>
      </c>
      <c r="F138" s="2">
        <v>45232</v>
      </c>
      <c r="G138" s="3">
        <v>79780</v>
      </c>
      <c r="H138" s="4" t="s">
        <v>7</v>
      </c>
      <c r="I138" s="5">
        <v>-1730</v>
      </c>
      <c r="J138" s="5">
        <v>462070</v>
      </c>
    </row>
    <row r="139" spans="1:10" x14ac:dyDescent="0.3">
      <c r="A139" s="11">
        <f t="shared" si="4"/>
        <v>45234</v>
      </c>
      <c r="B139" t="str">
        <f t="shared" si="5"/>
        <v>138CHECK</v>
      </c>
      <c r="C139" t="str" cm="1">
        <f t="array" ref="C139">IFERROR(INDEX(Table1[Category],MATCH(B139,Table1[Unique ID Matches],0)),INDEX(Table2[Category],MATCH(TRUE,ISNUMBER(SEARCH(Table2[Unique ID Contains],B139)),0)))</f>
        <v>Payroll</v>
      </c>
      <c r="D139" t="str">
        <f>INDEX('13 weeks CF'!$C$9:$C$59,MATCH(C139,'13 weeks CF'!$C$9:$C$59,0))</f>
        <v>Payroll</v>
      </c>
      <c r="E139" s="3">
        <v>138</v>
      </c>
      <c r="F139" s="2">
        <v>45232</v>
      </c>
      <c r="G139" s="3">
        <v>79781</v>
      </c>
      <c r="H139" s="4" t="s">
        <v>7</v>
      </c>
      <c r="I139" s="5">
        <v>-1580</v>
      </c>
      <c r="J139" s="5">
        <v>460490</v>
      </c>
    </row>
    <row r="140" spans="1:10" x14ac:dyDescent="0.3">
      <c r="A140" s="11">
        <f t="shared" si="4"/>
        <v>45234</v>
      </c>
      <c r="B140" t="str">
        <f t="shared" si="5"/>
        <v>139CHECK</v>
      </c>
      <c r="C140" t="str" cm="1">
        <f t="array" ref="C140">IFERROR(INDEX(Table1[Category],MATCH(B140,Table1[Unique ID Matches],0)),INDEX(Table2[Category],MATCH(TRUE,ISNUMBER(SEARCH(Table2[Unique ID Contains],B140)),0)))</f>
        <v>Payroll</v>
      </c>
      <c r="D140" t="str">
        <f>INDEX('13 weeks CF'!$C$9:$C$59,MATCH(C140,'13 weeks CF'!$C$9:$C$59,0))</f>
        <v>Payroll</v>
      </c>
      <c r="E140" s="3">
        <v>139</v>
      </c>
      <c r="F140" s="2">
        <v>45232</v>
      </c>
      <c r="G140" s="3">
        <v>79783</v>
      </c>
      <c r="H140" s="4" t="s">
        <v>7</v>
      </c>
      <c r="I140" s="5">
        <v>-1580</v>
      </c>
      <c r="J140" s="5">
        <v>458910</v>
      </c>
    </row>
    <row r="141" spans="1:10" x14ac:dyDescent="0.3">
      <c r="A141" s="11">
        <f t="shared" si="4"/>
        <v>45234</v>
      </c>
      <c r="B141" t="str">
        <f t="shared" si="5"/>
        <v>140CHECK</v>
      </c>
      <c r="C141" t="str" cm="1">
        <f t="array" ref="C141">IFERROR(INDEX(Table1[Category],MATCH(B141,Table1[Unique ID Matches],0)),INDEX(Table2[Category],MATCH(TRUE,ISNUMBER(SEARCH(Table2[Unique ID Contains],B141)),0)))</f>
        <v>Payroll</v>
      </c>
      <c r="D141" t="str">
        <f>INDEX('13 weeks CF'!$C$9:$C$59,MATCH(C141,'13 weeks CF'!$C$9:$C$59,0))</f>
        <v>Payroll</v>
      </c>
      <c r="E141" s="3">
        <v>140</v>
      </c>
      <c r="F141" s="2">
        <v>45232</v>
      </c>
      <c r="G141" s="3">
        <v>79784</v>
      </c>
      <c r="H141" s="4" t="s">
        <v>7</v>
      </c>
      <c r="I141" s="5">
        <v>-1440</v>
      </c>
      <c r="J141" s="5">
        <v>457470</v>
      </c>
    </row>
    <row r="142" spans="1:10" x14ac:dyDescent="0.3">
      <c r="A142" s="11">
        <f t="shared" si="4"/>
        <v>45234</v>
      </c>
      <c r="B142" t="str">
        <f t="shared" si="5"/>
        <v>141CHECK</v>
      </c>
      <c r="C142" t="str" cm="1">
        <f t="array" ref="C142">IFERROR(INDEX(Table1[Category],MATCH(B142,Table1[Unique ID Matches],0)),INDEX(Table2[Category],MATCH(TRUE,ISNUMBER(SEARCH(Table2[Unique ID Contains],B142)),0)))</f>
        <v>Payroll</v>
      </c>
      <c r="D142" t="str">
        <f>INDEX('13 weeks CF'!$C$9:$C$59,MATCH(C142,'13 weeks CF'!$C$9:$C$59,0))</f>
        <v>Payroll</v>
      </c>
      <c r="E142" s="3">
        <v>141</v>
      </c>
      <c r="F142" s="2">
        <v>45232</v>
      </c>
      <c r="G142" s="3">
        <v>79785</v>
      </c>
      <c r="H142" s="4" t="s">
        <v>7</v>
      </c>
      <c r="I142" s="5">
        <v>-1640</v>
      </c>
      <c r="J142" s="5">
        <v>455830</v>
      </c>
    </row>
    <row r="143" spans="1:10" x14ac:dyDescent="0.3">
      <c r="A143" s="11">
        <f t="shared" si="4"/>
        <v>45234</v>
      </c>
      <c r="B143" t="str">
        <f t="shared" si="5"/>
        <v>142CHECK</v>
      </c>
      <c r="C143" t="str" cm="1">
        <f t="array" ref="C143">IFERROR(INDEX(Table1[Category],MATCH(B143,Table1[Unique ID Matches],0)),INDEX(Table2[Category],MATCH(TRUE,ISNUMBER(SEARCH(Table2[Unique ID Contains],B143)),0)))</f>
        <v>Payroll</v>
      </c>
      <c r="D143" t="str">
        <f>INDEX('13 weeks CF'!$C$9:$C$59,MATCH(C143,'13 weeks CF'!$C$9:$C$59,0))</f>
        <v>Payroll</v>
      </c>
      <c r="E143" s="3">
        <v>142</v>
      </c>
      <c r="F143" s="2">
        <v>45232</v>
      </c>
      <c r="G143" s="3">
        <v>79786</v>
      </c>
      <c r="H143" s="4" t="s">
        <v>7</v>
      </c>
      <c r="I143" s="5">
        <v>-1610</v>
      </c>
      <c r="J143" s="5">
        <v>454220</v>
      </c>
    </row>
    <row r="144" spans="1:10" x14ac:dyDescent="0.3">
      <c r="A144" s="11">
        <f t="shared" si="4"/>
        <v>45234</v>
      </c>
      <c r="B144" t="str">
        <f t="shared" si="5"/>
        <v>143CHECK</v>
      </c>
      <c r="C144" t="str" cm="1">
        <f t="array" ref="C144">IFERROR(INDEX(Table1[Category],MATCH(B144,Table1[Unique ID Matches],0)),INDEX(Table2[Category],MATCH(TRUE,ISNUMBER(SEARCH(Table2[Unique ID Contains],B144)),0)))</f>
        <v>Payroll</v>
      </c>
      <c r="D144" t="str">
        <f>INDEX('13 weeks CF'!$C$9:$C$59,MATCH(C144,'13 weeks CF'!$C$9:$C$59,0))</f>
        <v>Payroll</v>
      </c>
      <c r="E144" s="3">
        <v>143</v>
      </c>
      <c r="F144" s="2">
        <v>45232</v>
      </c>
      <c r="G144" s="3">
        <v>79787</v>
      </c>
      <c r="H144" s="4" t="s">
        <v>7</v>
      </c>
      <c r="I144" s="5">
        <v>-1430</v>
      </c>
      <c r="J144" s="5">
        <v>452790</v>
      </c>
    </row>
    <row r="145" spans="1:10" x14ac:dyDescent="0.3">
      <c r="A145" s="11">
        <f t="shared" si="4"/>
        <v>45234</v>
      </c>
      <c r="B145" t="str">
        <f t="shared" si="5"/>
        <v>144CHECK</v>
      </c>
      <c r="C145" t="str" cm="1">
        <f t="array" ref="C145">IFERROR(INDEX(Table1[Category],MATCH(B145,Table1[Unique ID Matches],0)),INDEX(Table2[Category],MATCH(TRUE,ISNUMBER(SEARCH(Table2[Unique ID Contains],B145)),0)))</f>
        <v>Payroll</v>
      </c>
      <c r="D145" t="str">
        <f>INDEX('13 weeks CF'!$C$9:$C$59,MATCH(C145,'13 weeks CF'!$C$9:$C$59,0))</f>
        <v>Payroll</v>
      </c>
      <c r="E145" s="3">
        <v>144</v>
      </c>
      <c r="F145" s="2">
        <v>45232</v>
      </c>
      <c r="G145" s="3">
        <v>79788</v>
      </c>
      <c r="H145" s="4" t="s">
        <v>7</v>
      </c>
      <c r="I145" s="5">
        <v>-1460</v>
      </c>
      <c r="J145" s="5">
        <v>451330</v>
      </c>
    </row>
    <row r="146" spans="1:10" x14ac:dyDescent="0.3">
      <c r="A146" s="11">
        <f t="shared" si="4"/>
        <v>45234</v>
      </c>
      <c r="B146" t="str">
        <f t="shared" si="5"/>
        <v>145CHECK</v>
      </c>
      <c r="C146" t="str" cm="1">
        <f t="array" ref="C146">IFERROR(INDEX(Table1[Category],MATCH(B146,Table1[Unique ID Matches],0)),INDEX(Table2[Category],MATCH(TRUE,ISNUMBER(SEARCH(Table2[Unique ID Contains],B146)),0)))</f>
        <v>Payroll</v>
      </c>
      <c r="D146" t="str">
        <f>INDEX('13 weeks CF'!$C$9:$C$59,MATCH(C146,'13 weeks CF'!$C$9:$C$59,0))</f>
        <v>Payroll</v>
      </c>
      <c r="E146" s="3">
        <v>145</v>
      </c>
      <c r="F146" s="2">
        <v>45232</v>
      </c>
      <c r="G146" s="3">
        <v>79789</v>
      </c>
      <c r="H146" s="4" t="s">
        <v>7</v>
      </c>
      <c r="I146" s="5">
        <v>-1660</v>
      </c>
      <c r="J146" s="5">
        <v>449670</v>
      </c>
    </row>
    <row r="147" spans="1:10" x14ac:dyDescent="0.3">
      <c r="A147" s="11">
        <f t="shared" si="4"/>
        <v>45234</v>
      </c>
      <c r="B147" t="str">
        <f t="shared" si="5"/>
        <v>146DEPOSIT</v>
      </c>
      <c r="C147" t="str" cm="1">
        <f t="array" ref="C147">IFERROR(INDEX(Table1[Category],MATCH(B147,Table1[Unique ID Matches],0)),INDEX(Table2[Category],MATCH(TRUE,ISNUMBER(SEARCH(Table2[Unique ID Contains],B147)),0)))</f>
        <v>Invoiced AR + New Revenue</v>
      </c>
      <c r="D147" t="str">
        <f>INDEX('13 weeks CF'!$C$9:$C$59,MATCH(C147,'13 weeks CF'!$C$9:$C$59,0))</f>
        <v>Invoiced AR + New Revenue</v>
      </c>
      <c r="E147" s="3">
        <v>146</v>
      </c>
      <c r="F147" s="2">
        <v>45233</v>
      </c>
      <c r="G147" s="3" t="s">
        <v>8</v>
      </c>
      <c r="H147" s="4" t="s">
        <v>9</v>
      </c>
      <c r="I147" s="5">
        <v>46240</v>
      </c>
      <c r="J147" s="5">
        <v>495910</v>
      </c>
    </row>
    <row r="148" spans="1:10" x14ac:dyDescent="0.3">
      <c r="A148" s="11">
        <f t="shared" si="4"/>
        <v>45234</v>
      </c>
      <c r="B148" t="str">
        <f t="shared" si="5"/>
        <v>147ELECTRONIC WITHDRAWAL DYNACORP</v>
      </c>
      <c r="C148" t="str" cm="1">
        <f t="array" ref="C148">IFERROR(INDEX(Table1[Category],MATCH(B148,Table1[Unique ID Matches],0)),INDEX(Table2[Category],MATCH(TRUE,ISNUMBER(SEARCH(Table2[Unique ID Contains],B148)),0)))</f>
        <v>Other Operating Outflows</v>
      </c>
      <c r="D148" t="str">
        <f>INDEX('13 weeks CF'!$C$9:$C$59,MATCH(C148,'13 weeks CF'!$C$9:$C$59,0))</f>
        <v>Other Operating Outflows</v>
      </c>
      <c r="E148" s="3">
        <v>147</v>
      </c>
      <c r="F148" s="2">
        <v>45233</v>
      </c>
      <c r="G148" s="3" t="s">
        <v>5</v>
      </c>
      <c r="H148" s="4" t="s">
        <v>23</v>
      </c>
      <c r="I148" s="5">
        <v>-790</v>
      </c>
      <c r="J148" s="5">
        <v>495120</v>
      </c>
    </row>
    <row r="149" spans="1:10" x14ac:dyDescent="0.3">
      <c r="A149" s="11">
        <f t="shared" si="4"/>
        <v>45234</v>
      </c>
      <c r="B149" t="str">
        <f t="shared" si="5"/>
        <v>148ELECTRONIC WITHDRAWAL IRIDIUMIX</v>
      </c>
      <c r="C149" t="str" cm="1">
        <f t="array" ref="C149">IFERROR(INDEX(Table1[Category],MATCH(B149,Table1[Unique ID Matches],0)),INDEX(Table2[Category],MATCH(TRUE,ISNUMBER(SEARCH(Table2[Unique ID Contains],B149)),0)))</f>
        <v>Other Non-operating Outflows</v>
      </c>
      <c r="D149" t="str">
        <f>INDEX('13 weeks CF'!$C$9:$C$59,MATCH(C149,'13 weeks CF'!$C$9:$C$59,0))</f>
        <v>Other Non-operating Outflows</v>
      </c>
      <c r="E149" s="3">
        <v>148</v>
      </c>
      <c r="F149" s="2">
        <v>45233</v>
      </c>
      <c r="G149" s="3" t="s">
        <v>5</v>
      </c>
      <c r="H149" s="4" t="s">
        <v>24</v>
      </c>
      <c r="I149" s="5">
        <v>-8580</v>
      </c>
      <c r="J149" s="5">
        <v>486540</v>
      </c>
    </row>
    <row r="150" spans="1:10" x14ac:dyDescent="0.3">
      <c r="A150" s="11">
        <f t="shared" si="4"/>
        <v>45234</v>
      </c>
      <c r="B150" t="str">
        <f t="shared" si="5"/>
        <v>149ELECTRONIC WITHDRAWAL DISCOVER</v>
      </c>
      <c r="C150" t="str" cm="1">
        <f t="array" ref="C150">IFERROR(INDEX(Table1[Category],MATCH(B150,Table1[Unique ID Matches],0)),INDEX(Table2[Category],MATCH(TRUE,ISNUMBER(SEARCH(Table2[Unique ID Contains],B150)),0)))</f>
        <v>Credit Cards</v>
      </c>
      <c r="D150" t="str">
        <f>INDEX('13 weeks CF'!$C$9:$C$59,MATCH(C150,'13 weeks CF'!$C$9:$C$59,0))</f>
        <v>Credit Cards</v>
      </c>
      <c r="E150" s="3">
        <v>149</v>
      </c>
      <c r="F150" s="2">
        <v>45233</v>
      </c>
      <c r="G150" s="3" t="s">
        <v>5</v>
      </c>
      <c r="H150" s="4" t="s">
        <v>25</v>
      </c>
      <c r="I150" s="5">
        <v>-187820</v>
      </c>
      <c r="J150" s="5">
        <v>298720</v>
      </c>
    </row>
    <row r="151" spans="1:10" x14ac:dyDescent="0.3">
      <c r="A151" s="11">
        <f t="shared" si="4"/>
        <v>45234</v>
      </c>
      <c r="B151" t="str">
        <f t="shared" si="5"/>
        <v>150CHECK</v>
      </c>
      <c r="C151" t="str" cm="1">
        <f t="array" ref="C151">IFERROR(INDEX(Table1[Category],MATCH(B151,Table1[Unique ID Matches],0)),INDEX(Table2[Category],MATCH(TRUE,ISNUMBER(SEARCH(Table2[Unique ID Contains],B151)),0)))</f>
        <v>Accounts Payable</v>
      </c>
      <c r="D151" t="str">
        <f>INDEX('13 weeks CF'!$C$9:$C$59,MATCH(C151,'13 weeks CF'!$C$9:$C$59,0))</f>
        <v>Accounts Payable</v>
      </c>
      <c r="E151" s="3">
        <v>150</v>
      </c>
      <c r="F151" s="2">
        <v>45233</v>
      </c>
      <c r="G151" s="3">
        <v>79769</v>
      </c>
      <c r="H151" s="4" t="s">
        <v>7</v>
      </c>
      <c r="I151" s="5">
        <v>-35480</v>
      </c>
      <c r="J151" s="5">
        <v>263240</v>
      </c>
    </row>
    <row r="152" spans="1:10" x14ac:dyDescent="0.3">
      <c r="A152" s="11">
        <f t="shared" si="4"/>
        <v>45234</v>
      </c>
      <c r="B152" t="str">
        <f t="shared" si="5"/>
        <v>151CHECK</v>
      </c>
      <c r="C152" t="str" cm="1">
        <f t="array" ref="C152">IFERROR(INDEX(Table1[Category],MATCH(B152,Table1[Unique ID Matches],0)),INDEX(Table2[Category],MATCH(TRUE,ISNUMBER(SEARCH(Table2[Unique ID Contains],B152)),0)))</f>
        <v>Accounts Payable</v>
      </c>
      <c r="D152" t="str">
        <f>INDEX('13 weeks CF'!$C$9:$C$59,MATCH(C152,'13 weeks CF'!$C$9:$C$59,0))</f>
        <v>Accounts Payable</v>
      </c>
      <c r="E152" s="3">
        <v>151</v>
      </c>
      <c r="F152" s="2">
        <v>45233</v>
      </c>
      <c r="G152" s="3">
        <v>79774</v>
      </c>
      <c r="H152" s="4" t="s">
        <v>7</v>
      </c>
      <c r="I152" s="5">
        <v>-44670</v>
      </c>
      <c r="J152" s="5">
        <v>218570</v>
      </c>
    </row>
    <row r="153" spans="1:10" x14ac:dyDescent="0.3">
      <c r="A153" s="11">
        <f t="shared" si="4"/>
        <v>45234</v>
      </c>
      <c r="B153" t="str">
        <f t="shared" si="5"/>
        <v>152CHECK</v>
      </c>
      <c r="C153" t="str" cm="1">
        <f t="array" ref="C153">IFERROR(INDEX(Table1[Category],MATCH(B153,Table1[Unique ID Matches],0)),INDEX(Table2[Category],MATCH(TRUE,ISNUMBER(SEARCH(Table2[Unique ID Contains],B153)),0)))</f>
        <v>Payroll</v>
      </c>
      <c r="D153" t="str">
        <f>INDEX('13 weeks CF'!$C$9:$C$59,MATCH(C153,'13 weeks CF'!$C$9:$C$59,0))</f>
        <v>Payroll</v>
      </c>
      <c r="E153" s="3">
        <v>152</v>
      </c>
      <c r="F153" s="2">
        <v>45233</v>
      </c>
      <c r="G153" s="3">
        <v>79778</v>
      </c>
      <c r="H153" s="4" t="s">
        <v>7</v>
      </c>
      <c r="I153" s="5">
        <v>-100</v>
      </c>
      <c r="J153" s="5">
        <v>218470</v>
      </c>
    </row>
    <row r="154" spans="1:10" x14ac:dyDescent="0.3">
      <c r="A154" s="11">
        <f t="shared" si="4"/>
        <v>45234</v>
      </c>
      <c r="B154" t="str">
        <f t="shared" si="5"/>
        <v>153CHECK</v>
      </c>
      <c r="C154" t="str" cm="1">
        <f t="array" ref="C154">IFERROR(INDEX(Table1[Category],MATCH(B154,Table1[Unique ID Matches],0)),INDEX(Table2[Category],MATCH(TRUE,ISNUMBER(SEARCH(Table2[Unique ID Contains],B154)),0)))</f>
        <v>Payroll</v>
      </c>
      <c r="D154" t="str">
        <f>INDEX('13 weeks CF'!$C$9:$C$59,MATCH(C154,'13 weeks CF'!$C$9:$C$59,0))</f>
        <v>Payroll</v>
      </c>
      <c r="E154" s="3">
        <v>153</v>
      </c>
      <c r="F154" s="2">
        <v>45233</v>
      </c>
      <c r="G154" s="3">
        <v>79782</v>
      </c>
      <c r="H154" s="4" t="s">
        <v>7</v>
      </c>
      <c r="I154" s="5">
        <v>-1640</v>
      </c>
      <c r="J154" s="5">
        <v>216830</v>
      </c>
    </row>
    <row r="155" spans="1:10" x14ac:dyDescent="0.3">
      <c r="A155" s="11">
        <f t="shared" si="4"/>
        <v>45234</v>
      </c>
      <c r="B155" t="str">
        <f t="shared" si="5"/>
        <v>154CHECK</v>
      </c>
      <c r="C155" t="str" cm="1">
        <f t="array" ref="C155">IFERROR(INDEX(Table1[Category],MATCH(B155,Table1[Unique ID Matches],0)),INDEX(Table2[Category],MATCH(TRUE,ISNUMBER(SEARCH(Table2[Unique ID Contains],B155)),0)))</f>
        <v>Payroll</v>
      </c>
      <c r="D155" t="str">
        <f>INDEX('13 weeks CF'!$C$9:$C$59,MATCH(C155,'13 weeks CF'!$C$9:$C$59,0))</f>
        <v>Payroll</v>
      </c>
      <c r="E155" s="3">
        <v>154</v>
      </c>
      <c r="F155" s="2">
        <v>45233</v>
      </c>
      <c r="G155" s="3">
        <v>79792</v>
      </c>
      <c r="H155" s="4" t="s">
        <v>7</v>
      </c>
      <c r="I155" s="5">
        <v>-200</v>
      </c>
      <c r="J155" s="5">
        <v>216630</v>
      </c>
    </row>
    <row r="156" spans="1:10" x14ac:dyDescent="0.3">
      <c r="A156" s="11">
        <f t="shared" si="4"/>
        <v>45234</v>
      </c>
      <c r="B156" t="str">
        <f t="shared" si="5"/>
        <v>155CHECK</v>
      </c>
      <c r="C156" t="str" cm="1">
        <f t="array" ref="C156">IFERROR(INDEX(Table1[Category],MATCH(B156,Table1[Unique ID Matches],0)),INDEX(Table2[Category],MATCH(TRUE,ISNUMBER(SEARCH(Table2[Unique ID Contains],B156)),0)))</f>
        <v>Payroll</v>
      </c>
      <c r="D156" t="str">
        <f>INDEX('13 weeks CF'!$C$9:$C$59,MATCH(C156,'13 weeks CF'!$C$9:$C$59,0))</f>
        <v>Payroll</v>
      </c>
      <c r="E156" s="3">
        <v>155</v>
      </c>
      <c r="F156" s="2">
        <v>45233</v>
      </c>
      <c r="G156" s="3">
        <v>79793</v>
      </c>
      <c r="H156" s="4" t="s">
        <v>7</v>
      </c>
      <c r="I156" s="5">
        <v>-1260</v>
      </c>
      <c r="J156" s="5">
        <v>215370</v>
      </c>
    </row>
    <row r="157" spans="1:10" x14ac:dyDescent="0.3">
      <c r="A157" s="11">
        <f t="shared" si="4"/>
        <v>45234</v>
      </c>
      <c r="B157" t="str">
        <f t="shared" si="5"/>
        <v>156CHECK</v>
      </c>
      <c r="C157" t="str" cm="1">
        <f t="array" ref="C157">IFERROR(INDEX(Table1[Category],MATCH(B157,Table1[Unique ID Matches],0)),INDEX(Table2[Category],MATCH(TRUE,ISNUMBER(SEARCH(Table2[Unique ID Contains],B157)),0)))</f>
        <v>Payroll</v>
      </c>
      <c r="D157" t="str">
        <f>INDEX('13 weeks CF'!$C$9:$C$59,MATCH(C157,'13 weeks CF'!$C$9:$C$59,0))</f>
        <v>Payroll</v>
      </c>
      <c r="E157" s="3">
        <v>156</v>
      </c>
      <c r="F157" s="2">
        <v>45233</v>
      </c>
      <c r="G157" s="3">
        <v>79794</v>
      </c>
      <c r="H157" s="4" t="s">
        <v>7</v>
      </c>
      <c r="I157" s="5">
        <v>-1400</v>
      </c>
      <c r="J157" s="5">
        <v>213970</v>
      </c>
    </row>
    <row r="158" spans="1:10" x14ac:dyDescent="0.3">
      <c r="A158" s="11">
        <f t="shared" si="4"/>
        <v>45234</v>
      </c>
      <c r="B158" t="str">
        <f t="shared" si="5"/>
        <v>157CHECK</v>
      </c>
      <c r="C158" t="str" cm="1">
        <f t="array" ref="C158">IFERROR(INDEX(Table1[Category],MATCH(B158,Table1[Unique ID Matches],0)),INDEX(Table2[Category],MATCH(TRUE,ISNUMBER(SEARCH(Table2[Unique ID Contains],B158)),0)))</f>
        <v>Payroll</v>
      </c>
      <c r="D158" t="str">
        <f>INDEX('13 weeks CF'!$C$9:$C$59,MATCH(C158,'13 weeks CF'!$C$9:$C$59,0))</f>
        <v>Payroll</v>
      </c>
      <c r="E158" s="3">
        <v>157</v>
      </c>
      <c r="F158" s="2">
        <v>45233</v>
      </c>
      <c r="G158" s="3">
        <v>79821</v>
      </c>
      <c r="H158" s="4" t="s">
        <v>7</v>
      </c>
      <c r="I158" s="5">
        <v>-1020</v>
      </c>
      <c r="J158" s="5">
        <v>212950</v>
      </c>
    </row>
    <row r="159" spans="1:10" x14ac:dyDescent="0.3">
      <c r="A159" s="11">
        <f t="shared" si="4"/>
        <v>45234</v>
      </c>
      <c r="B159" t="str">
        <f t="shared" si="5"/>
        <v>158CHECK</v>
      </c>
      <c r="C159" t="str" cm="1">
        <f t="array" ref="C159">IFERROR(INDEX(Table1[Category],MATCH(B159,Table1[Unique ID Matches],0)),INDEX(Table2[Category],MATCH(TRUE,ISNUMBER(SEARCH(Table2[Unique ID Contains],B159)),0)))</f>
        <v>Payroll</v>
      </c>
      <c r="D159" t="str">
        <f>INDEX('13 weeks CF'!$C$9:$C$59,MATCH(C159,'13 weeks CF'!$C$9:$C$59,0))</f>
        <v>Payroll</v>
      </c>
      <c r="E159" s="3">
        <v>158</v>
      </c>
      <c r="F159" s="2">
        <v>45233</v>
      </c>
      <c r="G159" s="3">
        <v>79842</v>
      </c>
      <c r="H159" s="4" t="s">
        <v>7</v>
      </c>
      <c r="I159" s="5">
        <v>-1210</v>
      </c>
      <c r="J159" s="5">
        <v>211740</v>
      </c>
    </row>
    <row r="160" spans="1:10" x14ac:dyDescent="0.3">
      <c r="A160" s="11">
        <f t="shared" si="4"/>
        <v>45234</v>
      </c>
      <c r="B160" t="str">
        <f t="shared" si="5"/>
        <v>159CHECK</v>
      </c>
      <c r="C160" t="str" cm="1">
        <f t="array" ref="C160">IFERROR(INDEX(Table1[Category],MATCH(B160,Table1[Unique ID Matches],0)),INDEX(Table2[Category],MATCH(TRUE,ISNUMBER(SEARCH(Table2[Unique ID Contains],B160)),0)))</f>
        <v>Payroll</v>
      </c>
      <c r="D160" t="str">
        <f>INDEX('13 weeks CF'!$C$9:$C$59,MATCH(C160,'13 weeks CF'!$C$9:$C$59,0))</f>
        <v>Payroll</v>
      </c>
      <c r="E160" s="3">
        <v>159</v>
      </c>
      <c r="F160" s="2">
        <v>45233</v>
      </c>
      <c r="G160" s="3">
        <v>79859</v>
      </c>
      <c r="H160" s="4" t="s">
        <v>7</v>
      </c>
      <c r="I160" s="5">
        <v>-1090</v>
      </c>
      <c r="J160" s="5">
        <v>210650</v>
      </c>
    </row>
    <row r="161" spans="1:10" x14ac:dyDescent="0.3">
      <c r="A161" s="11">
        <f t="shared" si="4"/>
        <v>45234</v>
      </c>
      <c r="B161" t="str">
        <f t="shared" si="5"/>
        <v>160CHECK</v>
      </c>
      <c r="C161" t="str" cm="1">
        <f t="array" ref="C161">IFERROR(INDEX(Table1[Category],MATCH(B161,Table1[Unique ID Matches],0)),INDEX(Table2[Category],MATCH(TRUE,ISNUMBER(SEARCH(Table2[Unique ID Contains],B161)),0)))</f>
        <v>Payroll</v>
      </c>
      <c r="D161" t="str">
        <f>INDEX('13 weeks CF'!$C$9:$C$59,MATCH(C161,'13 weeks CF'!$C$9:$C$59,0))</f>
        <v>Payroll</v>
      </c>
      <c r="E161" s="3">
        <v>160</v>
      </c>
      <c r="F161" s="2">
        <v>45233</v>
      </c>
      <c r="G161" s="3">
        <v>79860</v>
      </c>
      <c r="H161" s="4" t="s">
        <v>7</v>
      </c>
      <c r="I161" s="5">
        <v>-1240</v>
      </c>
      <c r="J161" s="5">
        <v>209410</v>
      </c>
    </row>
    <row r="162" spans="1:10" x14ac:dyDescent="0.3">
      <c r="A162" s="11">
        <f t="shared" si="4"/>
        <v>45234</v>
      </c>
      <c r="B162" t="str">
        <f t="shared" si="5"/>
        <v>161CHECK</v>
      </c>
      <c r="C162" t="str" cm="1">
        <f t="array" ref="C162">IFERROR(INDEX(Table1[Category],MATCH(B162,Table1[Unique ID Matches],0)),INDEX(Table2[Category],MATCH(TRUE,ISNUMBER(SEARCH(Table2[Unique ID Contains],B162)),0)))</f>
        <v>Payroll</v>
      </c>
      <c r="D162" t="str">
        <f>INDEX('13 weeks CF'!$C$9:$C$59,MATCH(C162,'13 weeks CF'!$C$9:$C$59,0))</f>
        <v>Payroll</v>
      </c>
      <c r="E162" s="3">
        <v>161</v>
      </c>
      <c r="F162" s="2">
        <v>45233</v>
      </c>
      <c r="G162" s="3">
        <v>79861</v>
      </c>
      <c r="H162" s="4" t="s">
        <v>7</v>
      </c>
      <c r="I162" s="5">
        <v>-1230</v>
      </c>
      <c r="J162" s="5">
        <v>208180</v>
      </c>
    </row>
    <row r="163" spans="1:10" x14ac:dyDescent="0.3">
      <c r="A163" s="11">
        <f t="shared" si="4"/>
        <v>45234</v>
      </c>
      <c r="B163" t="str">
        <f t="shared" si="5"/>
        <v>162CHECK</v>
      </c>
      <c r="C163" t="str" cm="1">
        <f t="array" ref="C163">IFERROR(INDEX(Table1[Category],MATCH(B163,Table1[Unique ID Matches],0)),INDEX(Table2[Category],MATCH(TRUE,ISNUMBER(SEARCH(Table2[Unique ID Contains],B163)),0)))</f>
        <v>Payroll</v>
      </c>
      <c r="D163" t="str">
        <f>INDEX('13 weeks CF'!$C$9:$C$59,MATCH(C163,'13 weeks CF'!$C$9:$C$59,0))</f>
        <v>Payroll</v>
      </c>
      <c r="E163" s="3">
        <v>162</v>
      </c>
      <c r="F163" s="2">
        <v>45233</v>
      </c>
      <c r="G163" s="3">
        <v>79862</v>
      </c>
      <c r="H163" s="4" t="s">
        <v>7</v>
      </c>
      <c r="I163" s="5">
        <v>-1880</v>
      </c>
      <c r="J163" s="5">
        <v>206300</v>
      </c>
    </row>
    <row r="164" spans="1:10" x14ac:dyDescent="0.3">
      <c r="A164" s="11">
        <f t="shared" si="4"/>
        <v>45234</v>
      </c>
      <c r="B164" t="str">
        <f t="shared" si="5"/>
        <v>163CHECK</v>
      </c>
      <c r="C164" t="str" cm="1">
        <f t="array" ref="C164">IFERROR(INDEX(Table1[Category],MATCH(B164,Table1[Unique ID Matches],0)),INDEX(Table2[Category],MATCH(TRUE,ISNUMBER(SEARCH(Table2[Unique ID Contains],B164)),0)))</f>
        <v>Payroll</v>
      </c>
      <c r="D164" t="str">
        <f>INDEX('13 weeks CF'!$C$9:$C$59,MATCH(C164,'13 weeks CF'!$C$9:$C$59,0))</f>
        <v>Payroll</v>
      </c>
      <c r="E164" s="3">
        <v>163</v>
      </c>
      <c r="F164" s="2">
        <v>45233</v>
      </c>
      <c r="G164" s="3">
        <v>79863</v>
      </c>
      <c r="H164" s="4" t="s">
        <v>7</v>
      </c>
      <c r="I164" s="5">
        <v>-1450</v>
      </c>
      <c r="J164" s="5">
        <v>204850</v>
      </c>
    </row>
    <row r="165" spans="1:10" x14ac:dyDescent="0.3">
      <c r="A165" s="11">
        <f t="shared" si="4"/>
        <v>45234</v>
      </c>
      <c r="B165" t="str">
        <f t="shared" si="5"/>
        <v>164CHECK</v>
      </c>
      <c r="C165" t="str" cm="1">
        <f t="array" ref="C165">IFERROR(INDEX(Table1[Category],MATCH(B165,Table1[Unique ID Matches],0)),INDEX(Table2[Category],MATCH(TRUE,ISNUMBER(SEARCH(Table2[Unique ID Contains],B165)),0)))</f>
        <v>Payroll</v>
      </c>
      <c r="D165" t="str">
        <f>INDEX('13 weeks CF'!$C$9:$C$59,MATCH(C165,'13 weeks CF'!$C$9:$C$59,0))</f>
        <v>Payroll</v>
      </c>
      <c r="E165" s="3">
        <v>164</v>
      </c>
      <c r="F165" s="2">
        <v>45233</v>
      </c>
      <c r="G165" s="3">
        <v>79864</v>
      </c>
      <c r="H165" s="4" t="s">
        <v>7</v>
      </c>
      <c r="I165" s="5">
        <v>-1190</v>
      </c>
      <c r="J165" s="5">
        <v>203660</v>
      </c>
    </row>
    <row r="166" spans="1:10" x14ac:dyDescent="0.3">
      <c r="A166" s="11">
        <f t="shared" si="4"/>
        <v>45234</v>
      </c>
      <c r="B166" t="str">
        <f t="shared" si="5"/>
        <v>165CHECK</v>
      </c>
      <c r="C166" t="str" cm="1">
        <f t="array" ref="C166">IFERROR(INDEX(Table1[Category],MATCH(B166,Table1[Unique ID Matches],0)),INDEX(Table2[Category],MATCH(TRUE,ISNUMBER(SEARCH(Table2[Unique ID Contains],B166)),0)))</f>
        <v>Payroll</v>
      </c>
      <c r="D166" t="str">
        <f>INDEX('13 weeks CF'!$C$9:$C$59,MATCH(C166,'13 weeks CF'!$C$9:$C$59,0))</f>
        <v>Payroll</v>
      </c>
      <c r="E166" s="3">
        <v>165</v>
      </c>
      <c r="F166" s="2">
        <v>45233</v>
      </c>
      <c r="G166" s="3">
        <v>79865</v>
      </c>
      <c r="H166" s="4" t="s">
        <v>7</v>
      </c>
      <c r="I166" s="5">
        <v>-1380</v>
      </c>
      <c r="J166" s="5">
        <v>202280</v>
      </c>
    </row>
    <row r="167" spans="1:10" x14ac:dyDescent="0.3">
      <c r="A167" s="11">
        <f t="shared" si="4"/>
        <v>45234</v>
      </c>
      <c r="B167" t="str">
        <f t="shared" si="5"/>
        <v>166CHECK</v>
      </c>
      <c r="C167" t="str" cm="1">
        <f t="array" ref="C167">IFERROR(INDEX(Table1[Category],MATCH(B167,Table1[Unique ID Matches],0)),INDEX(Table2[Category],MATCH(TRUE,ISNUMBER(SEARCH(Table2[Unique ID Contains],B167)),0)))</f>
        <v>Payroll</v>
      </c>
      <c r="D167" t="str">
        <f>INDEX('13 weeks CF'!$C$9:$C$59,MATCH(C167,'13 weeks CF'!$C$9:$C$59,0))</f>
        <v>Payroll</v>
      </c>
      <c r="E167" s="3">
        <v>166</v>
      </c>
      <c r="F167" s="2">
        <v>45233</v>
      </c>
      <c r="G167" s="3">
        <v>79866</v>
      </c>
      <c r="H167" s="4" t="s">
        <v>7</v>
      </c>
      <c r="I167" s="5">
        <v>-1270</v>
      </c>
      <c r="J167" s="5">
        <v>201010</v>
      </c>
    </row>
    <row r="168" spans="1:10" x14ac:dyDescent="0.3">
      <c r="A168" s="11">
        <f t="shared" si="4"/>
        <v>45234</v>
      </c>
      <c r="B168" t="str">
        <f t="shared" si="5"/>
        <v>167CHECK</v>
      </c>
      <c r="C168" t="str" cm="1">
        <f t="array" ref="C168">IFERROR(INDEX(Table1[Category],MATCH(B168,Table1[Unique ID Matches],0)),INDEX(Table2[Category],MATCH(TRUE,ISNUMBER(SEARCH(Table2[Unique ID Contains],B168)),0)))</f>
        <v>Payroll</v>
      </c>
      <c r="D168" t="str">
        <f>INDEX('13 weeks CF'!$C$9:$C$59,MATCH(C168,'13 weeks CF'!$C$9:$C$59,0))</f>
        <v>Payroll</v>
      </c>
      <c r="E168" s="3">
        <v>167</v>
      </c>
      <c r="F168" s="2">
        <v>45233</v>
      </c>
      <c r="G168" s="3">
        <v>79867</v>
      </c>
      <c r="H168" s="4" t="s">
        <v>7</v>
      </c>
      <c r="I168" s="5">
        <v>-790</v>
      </c>
      <c r="J168" s="5">
        <v>200220</v>
      </c>
    </row>
    <row r="169" spans="1:10" x14ac:dyDescent="0.3">
      <c r="A169" s="11">
        <f t="shared" si="4"/>
        <v>45234</v>
      </c>
      <c r="B169" t="str">
        <f t="shared" si="5"/>
        <v>168CHECK</v>
      </c>
      <c r="C169" t="str" cm="1">
        <f t="array" ref="C169">IFERROR(INDEX(Table1[Category],MATCH(B169,Table1[Unique ID Matches],0)),INDEX(Table2[Category],MATCH(TRUE,ISNUMBER(SEARCH(Table2[Unique ID Contains],B169)),0)))</f>
        <v>Payroll</v>
      </c>
      <c r="D169" t="str">
        <f>INDEX('13 weeks CF'!$C$9:$C$59,MATCH(C169,'13 weeks CF'!$C$9:$C$59,0))</f>
        <v>Payroll</v>
      </c>
      <c r="E169" s="3">
        <v>168</v>
      </c>
      <c r="F169" s="2">
        <v>45233</v>
      </c>
      <c r="G169" s="3">
        <v>79868</v>
      </c>
      <c r="H169" s="4" t="s">
        <v>7</v>
      </c>
      <c r="I169" s="5">
        <v>-1250</v>
      </c>
      <c r="J169" s="5">
        <v>198970</v>
      </c>
    </row>
    <row r="170" spans="1:10" x14ac:dyDescent="0.3">
      <c r="A170" s="11">
        <f t="shared" si="4"/>
        <v>45234</v>
      </c>
      <c r="B170" t="str">
        <f t="shared" si="5"/>
        <v>169CHECK</v>
      </c>
      <c r="C170" t="str" cm="1">
        <f t="array" ref="C170">IFERROR(INDEX(Table1[Category],MATCH(B170,Table1[Unique ID Matches],0)),INDEX(Table2[Category],MATCH(TRUE,ISNUMBER(SEARCH(Table2[Unique ID Contains],B170)),0)))</f>
        <v>Payroll</v>
      </c>
      <c r="D170" t="str">
        <f>INDEX('13 weeks CF'!$C$9:$C$59,MATCH(C170,'13 weeks CF'!$C$9:$C$59,0))</f>
        <v>Payroll</v>
      </c>
      <c r="E170" s="3">
        <v>169</v>
      </c>
      <c r="F170" s="2">
        <v>45233</v>
      </c>
      <c r="G170" s="3">
        <v>79870</v>
      </c>
      <c r="H170" s="4" t="s">
        <v>7</v>
      </c>
      <c r="I170" s="5">
        <v>-1000</v>
      </c>
      <c r="J170" s="5">
        <v>197970</v>
      </c>
    </row>
    <row r="171" spans="1:10" x14ac:dyDescent="0.3">
      <c r="A171" s="11">
        <f t="shared" si="4"/>
        <v>45234</v>
      </c>
      <c r="B171" t="str">
        <f t="shared" si="5"/>
        <v>170CHECK</v>
      </c>
      <c r="C171" t="str" cm="1">
        <f t="array" ref="C171">IFERROR(INDEX(Table1[Category],MATCH(B171,Table1[Unique ID Matches],0)),INDEX(Table2[Category],MATCH(TRUE,ISNUMBER(SEARCH(Table2[Unique ID Contains],B171)),0)))</f>
        <v>Payroll</v>
      </c>
      <c r="D171" t="str">
        <f>INDEX('13 weeks CF'!$C$9:$C$59,MATCH(C171,'13 weeks CF'!$C$9:$C$59,0))</f>
        <v>Payroll</v>
      </c>
      <c r="E171" s="3">
        <v>170</v>
      </c>
      <c r="F171" s="2">
        <v>45233</v>
      </c>
      <c r="G171" s="3">
        <v>79871</v>
      </c>
      <c r="H171" s="4" t="s">
        <v>7</v>
      </c>
      <c r="I171" s="5">
        <v>-1370</v>
      </c>
      <c r="J171" s="5">
        <v>196600</v>
      </c>
    </row>
    <row r="172" spans="1:10" x14ac:dyDescent="0.3">
      <c r="A172" s="11">
        <f t="shared" si="4"/>
        <v>45234</v>
      </c>
      <c r="B172" t="str">
        <f t="shared" si="5"/>
        <v>171CHECK</v>
      </c>
      <c r="C172" t="str" cm="1">
        <f t="array" ref="C172">IFERROR(INDEX(Table1[Category],MATCH(B172,Table1[Unique ID Matches],0)),INDEX(Table2[Category],MATCH(TRUE,ISNUMBER(SEARCH(Table2[Unique ID Contains],B172)),0)))</f>
        <v>Payroll</v>
      </c>
      <c r="D172" t="str">
        <f>INDEX('13 weeks CF'!$C$9:$C$59,MATCH(C172,'13 weeks CF'!$C$9:$C$59,0))</f>
        <v>Payroll</v>
      </c>
      <c r="E172" s="3">
        <v>171</v>
      </c>
      <c r="F172" s="2">
        <v>45233</v>
      </c>
      <c r="G172" s="3">
        <v>79872</v>
      </c>
      <c r="H172" s="4" t="s">
        <v>7</v>
      </c>
      <c r="I172" s="5">
        <v>-1430</v>
      </c>
      <c r="J172" s="5">
        <v>195170</v>
      </c>
    </row>
    <row r="173" spans="1:10" x14ac:dyDescent="0.3">
      <c r="A173" s="11">
        <f t="shared" si="4"/>
        <v>45234</v>
      </c>
      <c r="B173" t="str">
        <f t="shared" si="5"/>
        <v>172CHECK</v>
      </c>
      <c r="C173" t="str" cm="1">
        <f t="array" ref="C173">IFERROR(INDEX(Table1[Category],MATCH(B173,Table1[Unique ID Matches],0)),INDEX(Table2[Category],MATCH(TRUE,ISNUMBER(SEARCH(Table2[Unique ID Contains],B173)),0)))</f>
        <v>Payroll</v>
      </c>
      <c r="D173" t="str">
        <f>INDEX('13 weeks CF'!$C$9:$C$59,MATCH(C173,'13 weeks CF'!$C$9:$C$59,0))</f>
        <v>Payroll</v>
      </c>
      <c r="E173" s="3">
        <v>172</v>
      </c>
      <c r="F173" s="2">
        <v>45233</v>
      </c>
      <c r="G173" s="3">
        <v>79873</v>
      </c>
      <c r="H173" s="4" t="s">
        <v>7</v>
      </c>
      <c r="I173" s="5">
        <v>-1760</v>
      </c>
      <c r="J173" s="5">
        <v>193410</v>
      </c>
    </row>
    <row r="174" spans="1:10" x14ac:dyDescent="0.3">
      <c r="A174" s="11">
        <f t="shared" si="4"/>
        <v>45234</v>
      </c>
      <c r="B174" t="str">
        <f t="shared" si="5"/>
        <v>173CHECK</v>
      </c>
      <c r="C174" t="str" cm="1">
        <f t="array" ref="C174">IFERROR(INDEX(Table1[Category],MATCH(B174,Table1[Unique ID Matches],0)),INDEX(Table2[Category],MATCH(TRUE,ISNUMBER(SEARCH(Table2[Unique ID Contains],B174)),0)))</f>
        <v>Payroll</v>
      </c>
      <c r="D174" t="str">
        <f>INDEX('13 weeks CF'!$C$9:$C$59,MATCH(C174,'13 weeks CF'!$C$9:$C$59,0))</f>
        <v>Payroll</v>
      </c>
      <c r="E174" s="3">
        <v>173</v>
      </c>
      <c r="F174" s="2">
        <v>45233</v>
      </c>
      <c r="G174" s="3">
        <v>79874</v>
      </c>
      <c r="H174" s="4" t="s">
        <v>7</v>
      </c>
      <c r="I174" s="5">
        <v>-1080</v>
      </c>
      <c r="J174" s="5">
        <v>192330</v>
      </c>
    </row>
    <row r="175" spans="1:10" x14ac:dyDescent="0.3">
      <c r="A175" s="11">
        <f t="shared" si="4"/>
        <v>45234</v>
      </c>
      <c r="B175" t="str">
        <f t="shared" si="5"/>
        <v>174CHECK</v>
      </c>
      <c r="C175" t="str" cm="1">
        <f t="array" ref="C175">IFERROR(INDEX(Table1[Category],MATCH(B175,Table1[Unique ID Matches],0)),INDEX(Table2[Category],MATCH(TRUE,ISNUMBER(SEARCH(Table2[Unique ID Contains],B175)),0)))</f>
        <v>Payroll</v>
      </c>
      <c r="D175" t="str">
        <f>INDEX('13 weeks CF'!$C$9:$C$59,MATCH(C175,'13 weeks CF'!$C$9:$C$59,0))</f>
        <v>Payroll</v>
      </c>
      <c r="E175" s="3">
        <v>174</v>
      </c>
      <c r="F175" s="2">
        <v>45233</v>
      </c>
      <c r="G175" s="3">
        <v>79875</v>
      </c>
      <c r="H175" s="4" t="s">
        <v>7</v>
      </c>
      <c r="I175" s="5">
        <v>-1770</v>
      </c>
      <c r="J175" s="5">
        <v>190560</v>
      </c>
    </row>
    <row r="176" spans="1:10" x14ac:dyDescent="0.3">
      <c r="A176" s="11">
        <f t="shared" si="4"/>
        <v>45234</v>
      </c>
      <c r="B176" t="str">
        <f t="shared" si="5"/>
        <v>175CHECK</v>
      </c>
      <c r="C176" t="str" cm="1">
        <f t="array" ref="C176">IFERROR(INDEX(Table1[Category],MATCH(B176,Table1[Unique ID Matches],0)),INDEX(Table2[Category],MATCH(TRUE,ISNUMBER(SEARCH(Table2[Unique ID Contains],B176)),0)))</f>
        <v>Payroll</v>
      </c>
      <c r="D176" t="str">
        <f>INDEX('13 weeks CF'!$C$9:$C$59,MATCH(C176,'13 weeks CF'!$C$9:$C$59,0))</f>
        <v>Payroll</v>
      </c>
      <c r="E176" s="3">
        <v>175</v>
      </c>
      <c r="F176" s="2">
        <v>45233</v>
      </c>
      <c r="G176" s="3">
        <v>79877</v>
      </c>
      <c r="H176" s="4" t="s">
        <v>7</v>
      </c>
      <c r="I176" s="5">
        <v>-1190</v>
      </c>
      <c r="J176" s="5">
        <v>189370</v>
      </c>
    </row>
    <row r="177" spans="1:10" x14ac:dyDescent="0.3">
      <c r="A177" s="11">
        <f t="shared" si="4"/>
        <v>45234</v>
      </c>
      <c r="B177" t="str">
        <f t="shared" si="5"/>
        <v>176CHECK</v>
      </c>
      <c r="C177" t="str" cm="1">
        <f t="array" ref="C177">IFERROR(INDEX(Table1[Category],MATCH(B177,Table1[Unique ID Matches],0)),INDEX(Table2[Category],MATCH(TRUE,ISNUMBER(SEARCH(Table2[Unique ID Contains],B177)),0)))</f>
        <v>Payroll</v>
      </c>
      <c r="D177" t="str">
        <f>INDEX('13 weeks CF'!$C$9:$C$59,MATCH(C177,'13 weeks CF'!$C$9:$C$59,0))</f>
        <v>Payroll</v>
      </c>
      <c r="E177" s="3">
        <v>176</v>
      </c>
      <c r="F177" s="2">
        <v>45233</v>
      </c>
      <c r="G177" s="3">
        <v>79878</v>
      </c>
      <c r="H177" s="4" t="s">
        <v>7</v>
      </c>
      <c r="I177" s="5">
        <v>-1150</v>
      </c>
      <c r="J177" s="5">
        <v>188220</v>
      </c>
    </row>
    <row r="178" spans="1:10" x14ac:dyDescent="0.3">
      <c r="A178" s="11">
        <f t="shared" si="4"/>
        <v>45234</v>
      </c>
      <c r="B178" t="str">
        <f t="shared" si="5"/>
        <v>177CHECK</v>
      </c>
      <c r="C178" t="str" cm="1">
        <f t="array" ref="C178">IFERROR(INDEX(Table1[Category],MATCH(B178,Table1[Unique ID Matches],0)),INDEX(Table2[Category],MATCH(TRUE,ISNUMBER(SEARCH(Table2[Unique ID Contains],B178)),0)))</f>
        <v>Payroll</v>
      </c>
      <c r="D178" t="str">
        <f>INDEX('13 weeks CF'!$C$9:$C$59,MATCH(C178,'13 weeks CF'!$C$9:$C$59,0))</f>
        <v>Payroll</v>
      </c>
      <c r="E178" s="3">
        <v>177</v>
      </c>
      <c r="F178" s="2">
        <v>45233</v>
      </c>
      <c r="G178" s="3">
        <v>79879</v>
      </c>
      <c r="H178" s="4" t="s">
        <v>7</v>
      </c>
      <c r="I178" s="5">
        <v>-1140</v>
      </c>
      <c r="J178" s="5">
        <v>187080</v>
      </c>
    </row>
    <row r="179" spans="1:10" x14ac:dyDescent="0.3">
      <c r="A179" s="11">
        <f t="shared" si="4"/>
        <v>45234</v>
      </c>
      <c r="B179" t="str">
        <f t="shared" si="5"/>
        <v>178CHECK</v>
      </c>
      <c r="C179" t="str" cm="1">
        <f t="array" ref="C179">IFERROR(INDEX(Table1[Category],MATCH(B179,Table1[Unique ID Matches],0)),INDEX(Table2[Category],MATCH(TRUE,ISNUMBER(SEARCH(Table2[Unique ID Contains],B179)),0)))</f>
        <v>Payroll</v>
      </c>
      <c r="D179" t="str">
        <f>INDEX('13 weeks CF'!$C$9:$C$59,MATCH(C179,'13 weeks CF'!$C$9:$C$59,0))</f>
        <v>Payroll</v>
      </c>
      <c r="E179" s="3">
        <v>178</v>
      </c>
      <c r="F179" s="2">
        <v>45233</v>
      </c>
      <c r="G179" s="3">
        <v>79880</v>
      </c>
      <c r="H179" s="4" t="s">
        <v>7</v>
      </c>
      <c r="I179" s="5">
        <v>-1470</v>
      </c>
      <c r="J179" s="5">
        <v>185610</v>
      </c>
    </row>
    <row r="180" spans="1:10" x14ac:dyDescent="0.3">
      <c r="A180" s="11">
        <f t="shared" si="4"/>
        <v>45234</v>
      </c>
      <c r="B180" t="str">
        <f t="shared" si="5"/>
        <v>179CHECK</v>
      </c>
      <c r="C180" t="str" cm="1">
        <f t="array" ref="C180">IFERROR(INDEX(Table1[Category],MATCH(B180,Table1[Unique ID Matches],0)),INDEX(Table2[Category],MATCH(TRUE,ISNUMBER(SEARCH(Table2[Unique ID Contains],B180)),0)))</f>
        <v>Payroll</v>
      </c>
      <c r="D180" t="str">
        <f>INDEX('13 weeks CF'!$C$9:$C$59,MATCH(C180,'13 weeks CF'!$C$9:$C$59,0))</f>
        <v>Payroll</v>
      </c>
      <c r="E180" s="3">
        <v>179</v>
      </c>
      <c r="F180" s="2">
        <v>45233</v>
      </c>
      <c r="G180" s="3">
        <v>79881</v>
      </c>
      <c r="H180" s="4" t="s">
        <v>7</v>
      </c>
      <c r="I180" s="5">
        <v>-1740</v>
      </c>
      <c r="J180" s="5">
        <v>183870</v>
      </c>
    </row>
    <row r="181" spans="1:10" x14ac:dyDescent="0.3">
      <c r="A181" s="11">
        <f t="shared" si="4"/>
        <v>45234</v>
      </c>
      <c r="B181" t="str">
        <f t="shared" si="5"/>
        <v>180CHECK</v>
      </c>
      <c r="C181" t="str" cm="1">
        <f t="array" ref="C181">IFERROR(INDEX(Table1[Category],MATCH(B181,Table1[Unique ID Matches],0)),INDEX(Table2[Category],MATCH(TRUE,ISNUMBER(SEARCH(Table2[Unique ID Contains],B181)),0)))</f>
        <v>Payroll</v>
      </c>
      <c r="D181" t="str">
        <f>INDEX('13 weeks CF'!$C$9:$C$59,MATCH(C181,'13 weeks CF'!$C$9:$C$59,0))</f>
        <v>Payroll</v>
      </c>
      <c r="E181" s="3">
        <v>180</v>
      </c>
      <c r="F181" s="2">
        <v>45233</v>
      </c>
      <c r="G181" s="3">
        <v>79882</v>
      </c>
      <c r="H181" s="4" t="s">
        <v>7</v>
      </c>
      <c r="I181" s="5">
        <v>-1370</v>
      </c>
      <c r="J181" s="5">
        <v>182500</v>
      </c>
    </row>
    <row r="182" spans="1:10" x14ac:dyDescent="0.3">
      <c r="A182" s="11">
        <f t="shared" si="4"/>
        <v>45234</v>
      </c>
      <c r="B182" t="str">
        <f t="shared" si="5"/>
        <v>181CHECK</v>
      </c>
      <c r="C182" t="str" cm="1">
        <f t="array" ref="C182">IFERROR(INDEX(Table1[Category],MATCH(B182,Table1[Unique ID Matches],0)),INDEX(Table2[Category],MATCH(TRUE,ISNUMBER(SEARCH(Table2[Unique ID Contains],B182)),0)))</f>
        <v>Payroll</v>
      </c>
      <c r="D182" t="str">
        <f>INDEX('13 weeks CF'!$C$9:$C$59,MATCH(C182,'13 weeks CF'!$C$9:$C$59,0))</f>
        <v>Payroll</v>
      </c>
      <c r="E182" s="3">
        <v>181</v>
      </c>
      <c r="F182" s="2">
        <v>45233</v>
      </c>
      <c r="G182" s="3">
        <v>79883</v>
      </c>
      <c r="H182" s="4" t="s">
        <v>7</v>
      </c>
      <c r="I182" s="5">
        <v>-1190</v>
      </c>
      <c r="J182" s="5">
        <v>181310</v>
      </c>
    </row>
    <row r="183" spans="1:10" x14ac:dyDescent="0.3">
      <c r="A183" s="11">
        <f t="shared" si="4"/>
        <v>45234</v>
      </c>
      <c r="B183" t="str">
        <f t="shared" si="5"/>
        <v>182CHECK</v>
      </c>
      <c r="C183" t="str" cm="1">
        <f t="array" ref="C183">IFERROR(INDEX(Table1[Category],MATCH(B183,Table1[Unique ID Matches],0)),INDEX(Table2[Category],MATCH(TRUE,ISNUMBER(SEARCH(Table2[Unique ID Contains],B183)),0)))</f>
        <v>Payroll</v>
      </c>
      <c r="D183" t="str">
        <f>INDEX('13 weeks CF'!$C$9:$C$59,MATCH(C183,'13 weeks CF'!$C$9:$C$59,0))</f>
        <v>Payroll</v>
      </c>
      <c r="E183" s="3">
        <v>182</v>
      </c>
      <c r="F183" s="2">
        <v>45233</v>
      </c>
      <c r="G183" s="3">
        <v>79884</v>
      </c>
      <c r="H183" s="4" t="s">
        <v>7</v>
      </c>
      <c r="I183" s="5">
        <v>-1380</v>
      </c>
      <c r="J183" s="5">
        <v>179930</v>
      </c>
    </row>
    <row r="184" spans="1:10" x14ac:dyDescent="0.3">
      <c r="A184" s="11">
        <f t="shared" si="4"/>
        <v>45234</v>
      </c>
      <c r="B184" t="str">
        <f t="shared" si="5"/>
        <v>183CHECK</v>
      </c>
      <c r="C184" t="str" cm="1">
        <f t="array" ref="C184">IFERROR(INDEX(Table1[Category],MATCH(B184,Table1[Unique ID Matches],0)),INDEX(Table2[Category],MATCH(TRUE,ISNUMBER(SEARCH(Table2[Unique ID Contains],B184)),0)))</f>
        <v>Payroll</v>
      </c>
      <c r="D184" t="str">
        <f>INDEX('13 weeks CF'!$C$9:$C$59,MATCH(C184,'13 weeks CF'!$C$9:$C$59,0))</f>
        <v>Payroll</v>
      </c>
      <c r="E184" s="3">
        <v>183</v>
      </c>
      <c r="F184" s="2">
        <v>45233</v>
      </c>
      <c r="G184" s="3">
        <v>79885</v>
      </c>
      <c r="H184" s="4" t="s">
        <v>7</v>
      </c>
      <c r="I184" s="5">
        <v>-1370</v>
      </c>
      <c r="J184" s="5">
        <v>178560</v>
      </c>
    </row>
    <row r="185" spans="1:10" x14ac:dyDescent="0.3">
      <c r="A185" s="11">
        <f t="shared" si="4"/>
        <v>45234</v>
      </c>
      <c r="B185" t="str">
        <f t="shared" si="5"/>
        <v>184CHECK</v>
      </c>
      <c r="C185" t="str" cm="1">
        <f t="array" ref="C185">IFERROR(INDEX(Table1[Category],MATCH(B185,Table1[Unique ID Matches],0)),INDEX(Table2[Category],MATCH(TRUE,ISNUMBER(SEARCH(Table2[Unique ID Contains],B185)),0)))</f>
        <v>Payroll</v>
      </c>
      <c r="D185" t="str">
        <f>INDEX('13 weeks CF'!$C$9:$C$59,MATCH(C185,'13 weeks CF'!$C$9:$C$59,0))</f>
        <v>Payroll</v>
      </c>
      <c r="E185" s="3">
        <v>184</v>
      </c>
      <c r="F185" s="2">
        <v>45233</v>
      </c>
      <c r="G185" s="3">
        <v>79886</v>
      </c>
      <c r="H185" s="4" t="s">
        <v>7</v>
      </c>
      <c r="I185" s="5">
        <v>-1430</v>
      </c>
      <c r="J185" s="5">
        <v>177130</v>
      </c>
    </row>
    <row r="186" spans="1:10" x14ac:dyDescent="0.3">
      <c r="A186" s="11">
        <f t="shared" si="4"/>
        <v>45234</v>
      </c>
      <c r="B186" t="str">
        <f t="shared" si="5"/>
        <v>185CHECK</v>
      </c>
      <c r="C186" t="str" cm="1">
        <f t="array" ref="C186">IFERROR(INDEX(Table1[Category],MATCH(B186,Table1[Unique ID Matches],0)),INDEX(Table2[Category],MATCH(TRUE,ISNUMBER(SEARCH(Table2[Unique ID Contains],B186)),0)))</f>
        <v>Payroll</v>
      </c>
      <c r="D186" t="str">
        <f>INDEX('13 weeks CF'!$C$9:$C$59,MATCH(C186,'13 weeks CF'!$C$9:$C$59,0))</f>
        <v>Payroll</v>
      </c>
      <c r="E186" s="3">
        <v>185</v>
      </c>
      <c r="F186" s="2">
        <v>45233</v>
      </c>
      <c r="G186" s="3">
        <v>79887</v>
      </c>
      <c r="H186" s="4" t="s">
        <v>7</v>
      </c>
      <c r="I186" s="5">
        <v>-1170</v>
      </c>
      <c r="J186" s="5">
        <v>175960</v>
      </c>
    </row>
    <row r="187" spans="1:10" x14ac:dyDescent="0.3">
      <c r="A187" s="11">
        <f t="shared" si="4"/>
        <v>45234</v>
      </c>
      <c r="B187" t="str">
        <f t="shared" si="5"/>
        <v>186CHECK</v>
      </c>
      <c r="C187" t="str" cm="1">
        <f t="array" ref="C187">IFERROR(INDEX(Table1[Category],MATCH(B187,Table1[Unique ID Matches],0)),INDEX(Table2[Category],MATCH(TRUE,ISNUMBER(SEARCH(Table2[Unique ID Contains],B187)),0)))</f>
        <v>Payroll</v>
      </c>
      <c r="D187" t="str">
        <f>INDEX('13 weeks CF'!$C$9:$C$59,MATCH(C187,'13 weeks CF'!$C$9:$C$59,0))</f>
        <v>Payroll</v>
      </c>
      <c r="E187" s="3">
        <v>186</v>
      </c>
      <c r="F187" s="2">
        <v>45233</v>
      </c>
      <c r="G187" s="3">
        <v>79888</v>
      </c>
      <c r="H187" s="4" t="s">
        <v>7</v>
      </c>
      <c r="I187" s="5">
        <v>-1870</v>
      </c>
      <c r="J187" s="5">
        <v>174090</v>
      </c>
    </row>
    <row r="188" spans="1:10" x14ac:dyDescent="0.3">
      <c r="A188" s="11">
        <f t="shared" si="4"/>
        <v>45241</v>
      </c>
      <c r="B188" t="str">
        <f t="shared" si="5"/>
        <v>187DEPOSIT</v>
      </c>
      <c r="C188" t="str" cm="1">
        <f t="array" ref="C188">IFERROR(INDEX(Table1[Category],MATCH(B188,Table1[Unique ID Matches],0)),INDEX(Table2[Category],MATCH(TRUE,ISNUMBER(SEARCH(Table2[Unique ID Contains],B188)),0)))</f>
        <v>Invoiced AR + New Revenue</v>
      </c>
      <c r="D188" t="str">
        <f>INDEX('13 weeks CF'!$C$9:$C$59,MATCH(C188,'13 weeks CF'!$C$9:$C$59,0))</f>
        <v>Invoiced AR + New Revenue</v>
      </c>
      <c r="E188" s="3">
        <v>187</v>
      </c>
      <c r="F188" s="2">
        <v>45236</v>
      </c>
      <c r="G188" s="3" t="s">
        <v>8</v>
      </c>
      <c r="H188" s="4" t="s">
        <v>9</v>
      </c>
      <c r="I188" s="5">
        <v>78680</v>
      </c>
      <c r="J188" s="5">
        <v>252770</v>
      </c>
    </row>
    <row r="189" spans="1:10" x14ac:dyDescent="0.3">
      <c r="A189" s="11">
        <f t="shared" si="4"/>
        <v>45241</v>
      </c>
      <c r="B189" t="str">
        <f t="shared" si="5"/>
        <v>188WEB AUTHORIZED PMT KRYPTONIX</v>
      </c>
      <c r="C189" t="str" cm="1">
        <f t="array" ref="C189">IFERROR(INDEX(Table1[Category],MATCH(B189,Table1[Unique ID Matches],0)),INDEX(Table2[Category],MATCH(TRUE,ISNUMBER(SEARCH(Table2[Unique ID Contains],B189)),0)))</f>
        <v>Dues &amp; Subscriptions</v>
      </c>
      <c r="D189" t="str">
        <f>INDEX('13 weeks CF'!$C$9:$C$59,MATCH(C189,'13 weeks CF'!$C$9:$C$59,0))</f>
        <v>Dues &amp; Subscriptions</v>
      </c>
      <c r="E189" s="3">
        <v>188</v>
      </c>
      <c r="F189" s="2">
        <v>45236</v>
      </c>
      <c r="G189" s="3" t="s">
        <v>5</v>
      </c>
      <c r="H189" s="4" t="s">
        <v>6</v>
      </c>
      <c r="I189" s="5">
        <v>-80</v>
      </c>
      <c r="J189" s="5">
        <v>252690</v>
      </c>
    </row>
    <row r="190" spans="1:10" x14ac:dyDescent="0.3">
      <c r="A190" s="11">
        <f t="shared" si="4"/>
        <v>45241</v>
      </c>
      <c r="B190" t="str">
        <f t="shared" si="5"/>
        <v>189WEB AUTHORIZED PMT KRYPTONIX</v>
      </c>
      <c r="C190" t="str" cm="1">
        <f t="array" ref="C190">IFERROR(INDEX(Table1[Category],MATCH(B190,Table1[Unique ID Matches],0)),INDEX(Table2[Category],MATCH(TRUE,ISNUMBER(SEARCH(Table2[Unique ID Contains],B190)),0)))</f>
        <v>Dues &amp; Subscriptions</v>
      </c>
      <c r="D190" t="str">
        <f>INDEX('13 weeks CF'!$C$9:$C$59,MATCH(C190,'13 weeks CF'!$C$9:$C$59,0))</f>
        <v>Dues &amp; Subscriptions</v>
      </c>
      <c r="E190" s="3">
        <v>189</v>
      </c>
      <c r="F190" s="2">
        <v>45236</v>
      </c>
      <c r="G190" s="3" t="s">
        <v>5</v>
      </c>
      <c r="H190" s="4" t="s">
        <v>6</v>
      </c>
      <c r="I190" s="5">
        <v>-230</v>
      </c>
      <c r="J190" s="5">
        <v>252460</v>
      </c>
    </row>
    <row r="191" spans="1:10" x14ac:dyDescent="0.3">
      <c r="A191" s="11">
        <f t="shared" si="4"/>
        <v>45241</v>
      </c>
      <c r="B191" t="str">
        <f t="shared" si="5"/>
        <v>190ELECTRONIC WITHDRAWAL GLOWTECH</v>
      </c>
      <c r="C191" t="str" cm="1">
        <f t="array" ref="C191">IFERROR(INDEX(Table1[Category],MATCH(B191,Table1[Unique ID Matches],0)),INDEX(Table2[Category],MATCH(TRUE,ISNUMBER(SEARCH(Table2[Unique ID Contains],B191)),0)))</f>
        <v>Technology</v>
      </c>
      <c r="D191" t="str">
        <f>INDEX('13 weeks CF'!$C$9:$C$59,MATCH(C191,'13 weeks CF'!$C$9:$C$59,0))</f>
        <v>Technology</v>
      </c>
      <c r="E191" s="3">
        <v>190</v>
      </c>
      <c r="F191" s="2">
        <v>45236</v>
      </c>
      <c r="G191" s="3" t="s">
        <v>5</v>
      </c>
      <c r="H191" s="4" t="s">
        <v>10</v>
      </c>
      <c r="I191" s="5">
        <v>-1100</v>
      </c>
      <c r="J191" s="5">
        <v>251360</v>
      </c>
    </row>
    <row r="192" spans="1:10" x14ac:dyDescent="0.3">
      <c r="A192" s="11">
        <f t="shared" si="4"/>
        <v>45241</v>
      </c>
      <c r="B192" t="str">
        <f t="shared" si="5"/>
        <v>191CHECK</v>
      </c>
      <c r="C192" t="str" cm="1">
        <f t="array" ref="C192">IFERROR(INDEX(Table1[Category],MATCH(B192,Table1[Unique ID Matches],0)),INDEX(Table2[Category],MATCH(TRUE,ISNUMBER(SEARCH(Table2[Unique ID Contains],B192)),0)))</f>
        <v>Payroll</v>
      </c>
      <c r="D192" t="str">
        <f>INDEX('13 weeks CF'!$C$9:$C$59,MATCH(C192,'13 weeks CF'!$C$9:$C$59,0))</f>
        <v>Payroll</v>
      </c>
      <c r="E192" s="3">
        <v>191</v>
      </c>
      <c r="F192" s="2">
        <v>45236</v>
      </c>
      <c r="G192" s="3">
        <v>79809</v>
      </c>
      <c r="H192" s="4" t="s">
        <v>7</v>
      </c>
      <c r="I192" s="5">
        <v>-1110</v>
      </c>
      <c r="J192" s="5">
        <v>250250</v>
      </c>
    </row>
    <row r="193" spans="1:10" x14ac:dyDescent="0.3">
      <c r="A193" s="11">
        <f t="shared" si="4"/>
        <v>45241</v>
      </c>
      <c r="B193" t="str">
        <f t="shared" si="5"/>
        <v>192CHECK</v>
      </c>
      <c r="C193" t="str" cm="1">
        <f t="array" ref="C193">IFERROR(INDEX(Table1[Category],MATCH(B193,Table1[Unique ID Matches],0)),INDEX(Table2[Category],MATCH(TRUE,ISNUMBER(SEARCH(Table2[Unique ID Contains],B193)),0)))</f>
        <v>Payroll</v>
      </c>
      <c r="D193" t="str">
        <f>INDEX('13 weeks CF'!$C$9:$C$59,MATCH(C193,'13 weeks CF'!$C$9:$C$59,0))</f>
        <v>Payroll</v>
      </c>
      <c r="E193" s="3">
        <v>192</v>
      </c>
      <c r="F193" s="2">
        <v>45237</v>
      </c>
      <c r="G193" s="3">
        <v>79773</v>
      </c>
      <c r="H193" s="4" t="s">
        <v>7</v>
      </c>
      <c r="I193" s="5">
        <v>-2510</v>
      </c>
      <c r="J193" s="5">
        <v>247740</v>
      </c>
    </row>
    <row r="194" spans="1:10" x14ac:dyDescent="0.3">
      <c r="A194" s="11">
        <f t="shared" ref="A194:A257" si="6">F194+7-WEEKDAY(F194+7-7)</f>
        <v>45241</v>
      </c>
      <c r="B194" t="str">
        <f t="shared" ref="B194:B257" si="7">E194&amp;H194</f>
        <v>193CHECK</v>
      </c>
      <c r="C194" t="str" cm="1">
        <f t="array" ref="C194">IFERROR(INDEX(Table1[Category],MATCH(B194,Table1[Unique ID Matches],0)),INDEX(Table2[Category],MATCH(TRUE,ISNUMBER(SEARCH(Table2[Unique ID Contains],B194)),0)))</f>
        <v>Accounts Payable</v>
      </c>
      <c r="D194" t="str">
        <f>INDEX('13 weeks CF'!$C$9:$C$59,MATCH(C194,'13 weeks CF'!$C$9:$C$59,0))</f>
        <v>Accounts Payable</v>
      </c>
      <c r="E194" s="3">
        <v>193</v>
      </c>
      <c r="F194" s="2">
        <v>45237</v>
      </c>
      <c r="G194" s="3">
        <v>79779</v>
      </c>
      <c r="H194" s="4" t="s">
        <v>7</v>
      </c>
      <c r="I194" s="5">
        <v>-9350</v>
      </c>
      <c r="J194" s="5">
        <v>238390</v>
      </c>
    </row>
    <row r="195" spans="1:10" x14ac:dyDescent="0.3">
      <c r="A195" s="11">
        <f t="shared" si="6"/>
        <v>45241</v>
      </c>
      <c r="B195" t="str">
        <f t="shared" si="7"/>
        <v>194CHECK</v>
      </c>
      <c r="C195" t="str" cm="1">
        <f t="array" ref="C195">IFERROR(INDEX(Table1[Category],MATCH(B195,Table1[Unique ID Matches],0)),INDEX(Table2[Category],MATCH(TRUE,ISNUMBER(SEARCH(Table2[Unique ID Contains],B195)),0)))</f>
        <v>Payroll</v>
      </c>
      <c r="D195" t="str">
        <f>INDEX('13 weeks CF'!$C$9:$C$59,MATCH(C195,'13 weeks CF'!$C$9:$C$59,0))</f>
        <v>Payroll</v>
      </c>
      <c r="E195" s="3">
        <v>194</v>
      </c>
      <c r="F195" s="2">
        <v>45237</v>
      </c>
      <c r="G195" s="3">
        <v>79795</v>
      </c>
      <c r="H195" s="4" t="s">
        <v>7</v>
      </c>
      <c r="I195" s="5">
        <v>-100</v>
      </c>
      <c r="J195" s="5">
        <v>238290</v>
      </c>
    </row>
    <row r="196" spans="1:10" x14ac:dyDescent="0.3">
      <c r="A196" s="11">
        <f t="shared" si="6"/>
        <v>45241</v>
      </c>
      <c r="B196" t="str">
        <f t="shared" si="7"/>
        <v>195CHECK</v>
      </c>
      <c r="C196" t="str" cm="1">
        <f t="array" ref="C196">IFERROR(INDEX(Table1[Category],MATCH(B196,Table1[Unique ID Matches],0)),INDEX(Table2[Category],MATCH(TRUE,ISNUMBER(SEARCH(Table2[Unique ID Contains],B196)),0)))</f>
        <v>Payroll</v>
      </c>
      <c r="D196" t="str">
        <f>INDEX('13 weeks CF'!$C$9:$C$59,MATCH(C196,'13 weeks CF'!$C$9:$C$59,0))</f>
        <v>Payroll</v>
      </c>
      <c r="E196" s="3">
        <v>195</v>
      </c>
      <c r="F196" s="2">
        <v>45237</v>
      </c>
      <c r="G196" s="3">
        <v>79798</v>
      </c>
      <c r="H196" s="4" t="s">
        <v>7</v>
      </c>
      <c r="I196" s="5">
        <v>-100</v>
      </c>
      <c r="J196" s="5">
        <v>238190</v>
      </c>
    </row>
    <row r="197" spans="1:10" x14ac:dyDescent="0.3">
      <c r="A197" s="11">
        <f t="shared" si="6"/>
        <v>45241</v>
      </c>
      <c r="B197" t="str">
        <f t="shared" si="7"/>
        <v>196ELECTRONIC WITHDRAWAL STATE DEPT REVENUE</v>
      </c>
      <c r="C197" t="str" cm="1">
        <f t="array" ref="C197">IFERROR(INDEX(Table1[Category],MATCH(B197,Table1[Unique ID Matches],0)),INDEX(Table2[Category],MATCH(TRUE,ISNUMBER(SEARCH(Table2[Unique ID Contains],B197)),0)))</f>
        <v>Tax Distributions</v>
      </c>
      <c r="D197" t="str">
        <f>INDEX('13 weeks CF'!$C$9:$C$59,MATCH(C197,'13 weeks CF'!$C$9:$C$59,0))</f>
        <v>Tax Distributions</v>
      </c>
      <c r="E197" s="3">
        <v>196</v>
      </c>
      <c r="F197" s="2">
        <v>45238</v>
      </c>
      <c r="G197" s="3" t="s">
        <v>5</v>
      </c>
      <c r="H197" s="4" t="s">
        <v>11</v>
      </c>
      <c r="I197" s="5">
        <v>-3300</v>
      </c>
      <c r="J197" s="5">
        <v>234890</v>
      </c>
    </row>
    <row r="198" spans="1:10" x14ac:dyDescent="0.3">
      <c r="A198" s="11">
        <f t="shared" si="6"/>
        <v>45241</v>
      </c>
      <c r="B198" t="str">
        <f t="shared" si="7"/>
        <v>197ELECTRONIC WITHDRAWAL IRS</v>
      </c>
      <c r="C198" t="str" cm="1">
        <f t="array" ref="C198">IFERROR(INDEX(Table1[Category],MATCH(B198,Table1[Unique ID Matches],0)),INDEX(Table2[Category],MATCH(TRUE,ISNUMBER(SEARCH(Table2[Unique ID Contains],B198)),0)))</f>
        <v>Tax Distributions</v>
      </c>
      <c r="D198" t="str">
        <f>INDEX('13 weeks CF'!$C$9:$C$59,MATCH(C198,'13 weeks CF'!$C$9:$C$59,0))</f>
        <v>Tax Distributions</v>
      </c>
      <c r="E198" s="3">
        <v>197</v>
      </c>
      <c r="F198" s="2">
        <v>45238</v>
      </c>
      <c r="G198" s="3" t="s">
        <v>5</v>
      </c>
      <c r="H198" s="4" t="s">
        <v>12</v>
      </c>
      <c r="I198" s="5">
        <v>-16920</v>
      </c>
      <c r="J198" s="5">
        <v>217970</v>
      </c>
    </row>
    <row r="199" spans="1:10" x14ac:dyDescent="0.3">
      <c r="A199" s="11">
        <f t="shared" si="6"/>
        <v>45241</v>
      </c>
      <c r="B199" t="str">
        <f t="shared" si="7"/>
        <v>198CHECK</v>
      </c>
      <c r="C199" t="str" cm="1">
        <f t="array" ref="C199">IFERROR(INDEX(Table1[Category],MATCH(B199,Table1[Unique ID Matches],0)),INDEX(Table2[Category],MATCH(TRUE,ISNUMBER(SEARCH(Table2[Unique ID Contains],B199)),0)))</f>
        <v>Accounts Payable</v>
      </c>
      <c r="D199" t="str">
        <f>INDEX('13 weeks CF'!$C$9:$C$59,MATCH(C199,'13 weeks CF'!$C$9:$C$59,0))</f>
        <v>Accounts Payable</v>
      </c>
      <c r="E199" s="3">
        <v>198</v>
      </c>
      <c r="F199" s="2">
        <v>45238</v>
      </c>
      <c r="G199" s="3">
        <v>79790</v>
      </c>
      <c r="H199" s="4" t="s">
        <v>7</v>
      </c>
      <c r="I199" s="5">
        <v>-7930</v>
      </c>
      <c r="J199" s="5">
        <v>210040</v>
      </c>
    </row>
    <row r="200" spans="1:10" x14ac:dyDescent="0.3">
      <c r="A200" s="11">
        <f t="shared" si="6"/>
        <v>45241</v>
      </c>
      <c r="B200" t="str">
        <f t="shared" si="7"/>
        <v>199CHECK</v>
      </c>
      <c r="C200" t="str" cm="1">
        <f t="array" ref="C200">IFERROR(INDEX(Table1[Category],MATCH(B200,Table1[Unique ID Matches],0)),INDEX(Table2[Category],MATCH(TRUE,ISNUMBER(SEARCH(Table2[Unique ID Contains],B200)),0)))</f>
        <v>Accounts Payable</v>
      </c>
      <c r="D200" t="str">
        <f>INDEX('13 weeks CF'!$C$9:$C$59,MATCH(C200,'13 weeks CF'!$C$9:$C$59,0))</f>
        <v>Accounts Payable</v>
      </c>
      <c r="E200" s="3">
        <v>199</v>
      </c>
      <c r="F200" s="2">
        <v>45238</v>
      </c>
      <c r="G200" s="3">
        <v>79796</v>
      </c>
      <c r="H200" s="4" t="s">
        <v>7</v>
      </c>
      <c r="I200" s="5">
        <v>-3080</v>
      </c>
      <c r="J200" s="5">
        <v>206960</v>
      </c>
    </row>
    <row r="201" spans="1:10" x14ac:dyDescent="0.3">
      <c r="A201" s="11">
        <f t="shared" si="6"/>
        <v>45241</v>
      </c>
      <c r="B201" t="str">
        <f t="shared" si="7"/>
        <v>200CHECK</v>
      </c>
      <c r="C201" t="str" cm="1">
        <f t="array" ref="C201">IFERROR(INDEX(Table1[Category],MATCH(B201,Table1[Unique ID Matches],0)),INDEX(Table2[Category],MATCH(TRUE,ISNUMBER(SEARCH(Table2[Unique ID Contains],B201)),0)))</f>
        <v>Accounts Payable</v>
      </c>
      <c r="D201" t="str">
        <f>INDEX('13 weeks CF'!$C$9:$C$59,MATCH(C201,'13 weeks CF'!$C$9:$C$59,0))</f>
        <v>Accounts Payable</v>
      </c>
      <c r="E201" s="3">
        <v>200</v>
      </c>
      <c r="F201" s="2">
        <v>45238</v>
      </c>
      <c r="G201" s="3">
        <v>79923</v>
      </c>
      <c r="H201" s="4" t="s">
        <v>7</v>
      </c>
      <c r="I201" s="5">
        <v>-49450</v>
      </c>
      <c r="J201" s="5">
        <v>157510</v>
      </c>
    </row>
    <row r="202" spans="1:10" x14ac:dyDescent="0.3">
      <c r="A202" s="11">
        <f t="shared" si="6"/>
        <v>45241</v>
      </c>
      <c r="B202" t="str">
        <f t="shared" si="7"/>
        <v>201ELECTRONIC WITHDRAWAL GLOWTECH</v>
      </c>
      <c r="C202" t="str" cm="1">
        <f t="array" ref="C202">IFERROR(INDEX(Table1[Category],MATCH(B202,Table1[Unique ID Matches],0)),INDEX(Table2[Category],MATCH(TRUE,ISNUMBER(SEARCH(Table2[Unique ID Contains],B202)),0)))</f>
        <v>Technology</v>
      </c>
      <c r="D202" t="str">
        <f>INDEX('13 weeks CF'!$C$9:$C$59,MATCH(C202,'13 weeks CF'!$C$9:$C$59,0))</f>
        <v>Technology</v>
      </c>
      <c r="E202" s="3">
        <v>201</v>
      </c>
      <c r="F202" s="2">
        <v>45239</v>
      </c>
      <c r="G202" s="3" t="s">
        <v>5</v>
      </c>
      <c r="H202" s="4" t="s">
        <v>10</v>
      </c>
      <c r="I202" s="5">
        <v>-1000</v>
      </c>
      <c r="J202" s="5">
        <v>156510</v>
      </c>
    </row>
    <row r="203" spans="1:10" x14ac:dyDescent="0.3">
      <c r="A203" s="11">
        <f t="shared" si="6"/>
        <v>45241</v>
      </c>
      <c r="B203" t="str">
        <f t="shared" si="7"/>
        <v>202ELECTRONIC WITHDRAWAL HYPERTECH</v>
      </c>
      <c r="C203" t="str" cm="1">
        <f t="array" ref="C203">IFERROR(INDEX(Table1[Category],MATCH(B203,Table1[Unique ID Matches],0)),INDEX(Table2[Category],MATCH(TRUE,ISNUMBER(SEARCH(Table2[Unique ID Contains],B203)),0)))</f>
        <v>Marketing</v>
      </c>
      <c r="D203" t="str">
        <f>INDEX('13 weeks CF'!$C$9:$C$59,MATCH(C203,'13 weeks CF'!$C$9:$C$59,0))</f>
        <v>Marketing</v>
      </c>
      <c r="E203" s="3">
        <v>202</v>
      </c>
      <c r="F203" s="2">
        <v>45239</v>
      </c>
      <c r="G203" s="3" t="s">
        <v>5</v>
      </c>
      <c r="H203" s="4" t="s">
        <v>16</v>
      </c>
      <c r="I203" s="5">
        <v>-1020</v>
      </c>
      <c r="J203" s="5">
        <v>155490</v>
      </c>
    </row>
    <row r="204" spans="1:10" x14ac:dyDescent="0.3">
      <c r="A204" s="11">
        <f t="shared" si="6"/>
        <v>45241</v>
      </c>
      <c r="B204" t="str">
        <f t="shared" si="7"/>
        <v>203ELECTRONIC WITHDRAWAL PAYROLL</v>
      </c>
      <c r="C204" t="str" cm="1">
        <f t="array" ref="C204">IFERROR(INDEX(Table1[Category],MATCH(B204,Table1[Unique ID Matches],0)),INDEX(Table2[Category],MATCH(TRUE,ISNUMBER(SEARCH(Table2[Unique ID Contains],B204)),0)))</f>
        <v>Payroll</v>
      </c>
      <c r="D204" t="str">
        <f>INDEX('13 weeks CF'!$C$9:$C$59,MATCH(C204,'13 weeks CF'!$C$9:$C$59,0))</f>
        <v>Payroll</v>
      </c>
      <c r="E204" s="3">
        <v>203</v>
      </c>
      <c r="F204" s="2">
        <v>45239</v>
      </c>
      <c r="G204" s="3" t="s">
        <v>5</v>
      </c>
      <c r="H204" s="4" t="s">
        <v>13</v>
      </c>
      <c r="I204" s="5">
        <v>-3880</v>
      </c>
      <c r="J204" s="5">
        <v>151610</v>
      </c>
    </row>
    <row r="205" spans="1:10" x14ac:dyDescent="0.3">
      <c r="A205" s="11">
        <f t="shared" si="6"/>
        <v>45241</v>
      </c>
      <c r="B205" t="str">
        <f t="shared" si="7"/>
        <v>204ELECTRONIC WITHDRAWAL PAYROLL</v>
      </c>
      <c r="C205" t="str" cm="1">
        <f t="array" ref="C205">IFERROR(INDEX(Table1[Category],MATCH(B205,Table1[Unique ID Matches],0)),INDEX(Table2[Category],MATCH(TRUE,ISNUMBER(SEARCH(Table2[Unique ID Contains],B205)),0)))</f>
        <v>Payroll</v>
      </c>
      <c r="D205" t="str">
        <f>INDEX('13 weeks CF'!$C$9:$C$59,MATCH(C205,'13 weeks CF'!$C$9:$C$59,0))</f>
        <v>Payroll</v>
      </c>
      <c r="E205" s="3">
        <v>204</v>
      </c>
      <c r="F205" s="2">
        <v>45239</v>
      </c>
      <c r="G205" s="3" t="s">
        <v>5</v>
      </c>
      <c r="H205" s="4" t="s">
        <v>13</v>
      </c>
      <c r="I205" s="5">
        <v>-5000</v>
      </c>
      <c r="J205" s="5">
        <v>146610</v>
      </c>
    </row>
    <row r="206" spans="1:10" x14ac:dyDescent="0.3">
      <c r="A206" s="11">
        <f t="shared" si="6"/>
        <v>45241</v>
      </c>
      <c r="B206" t="str">
        <f t="shared" si="7"/>
        <v>205CHECK</v>
      </c>
      <c r="C206" t="str" cm="1">
        <f t="array" ref="C206">IFERROR(INDEX(Table1[Category],MATCH(B206,Table1[Unique ID Matches],0)),INDEX(Table2[Category],MATCH(TRUE,ISNUMBER(SEARCH(Table2[Unique ID Contains],B206)),0)))</f>
        <v>Payroll</v>
      </c>
      <c r="D206" t="str">
        <f>INDEX('13 weeks CF'!$C$9:$C$59,MATCH(C206,'13 weeks CF'!$C$9:$C$59,0))</f>
        <v>Payroll</v>
      </c>
      <c r="E206" s="3">
        <v>205</v>
      </c>
      <c r="F206" s="2">
        <v>45239</v>
      </c>
      <c r="G206" s="3">
        <v>79890</v>
      </c>
      <c r="H206" s="4" t="s">
        <v>7</v>
      </c>
      <c r="I206" s="5">
        <v>-1460</v>
      </c>
      <c r="J206" s="5">
        <v>145150</v>
      </c>
    </row>
    <row r="207" spans="1:10" x14ac:dyDescent="0.3">
      <c r="A207" s="11">
        <f t="shared" si="6"/>
        <v>45241</v>
      </c>
      <c r="B207" t="str">
        <f t="shared" si="7"/>
        <v>206ELECTRONIC DEPOSIT ARCATECH</v>
      </c>
      <c r="C207" t="str" cm="1">
        <f t="array" ref="C207">IFERROR(INDEX(Table1[Category],MATCH(B207,Table1[Unique ID Matches],0)),INDEX(Table2[Category],MATCH(TRUE,ISNUMBER(SEARCH(Table2[Unique ID Contains],B207)),0)))</f>
        <v>Invoiced AR + New Revenue</v>
      </c>
      <c r="D207" t="str">
        <f>INDEX('13 weeks CF'!$C$9:$C$59,MATCH(C207,'13 weeks CF'!$C$9:$C$59,0))</f>
        <v>Invoiced AR + New Revenue</v>
      </c>
      <c r="E207" s="3">
        <v>206</v>
      </c>
      <c r="F207" s="2">
        <v>45240</v>
      </c>
      <c r="G207" s="3" t="s">
        <v>8</v>
      </c>
      <c r="H207" s="4" t="s">
        <v>26</v>
      </c>
      <c r="I207" s="5">
        <v>131470</v>
      </c>
      <c r="J207" s="5">
        <v>276620</v>
      </c>
    </row>
    <row r="208" spans="1:10" x14ac:dyDescent="0.3">
      <c r="A208" s="11">
        <f t="shared" si="6"/>
        <v>45241</v>
      </c>
      <c r="B208" t="str">
        <f t="shared" si="7"/>
        <v>207CHECK</v>
      </c>
      <c r="C208" t="str" cm="1">
        <f t="array" ref="C208">IFERROR(INDEX(Table1[Category],MATCH(B208,Table1[Unique ID Matches],0)),INDEX(Table2[Category],MATCH(TRUE,ISNUMBER(SEARCH(Table2[Unique ID Contains],B208)),0)))</f>
        <v>Payroll</v>
      </c>
      <c r="D208" t="str">
        <f>INDEX('13 weeks CF'!$C$9:$C$59,MATCH(C208,'13 weeks CF'!$C$9:$C$59,0))</f>
        <v>Payroll</v>
      </c>
      <c r="E208" s="3">
        <v>207</v>
      </c>
      <c r="F208" s="2">
        <v>45240</v>
      </c>
      <c r="G208" s="3">
        <v>79776</v>
      </c>
      <c r="H208" s="4" t="s">
        <v>7</v>
      </c>
      <c r="I208" s="5">
        <v>-790</v>
      </c>
      <c r="J208" s="5">
        <v>275830</v>
      </c>
    </row>
    <row r="209" spans="1:10" x14ac:dyDescent="0.3">
      <c r="A209" s="11">
        <f t="shared" si="6"/>
        <v>45241</v>
      </c>
      <c r="B209" t="str">
        <f t="shared" si="7"/>
        <v>208CHECK</v>
      </c>
      <c r="C209" t="str" cm="1">
        <f t="array" ref="C209">IFERROR(INDEX(Table1[Category],MATCH(B209,Table1[Unique ID Matches],0)),INDEX(Table2[Category],MATCH(TRUE,ISNUMBER(SEARCH(Table2[Unique ID Contains],B209)),0)))</f>
        <v>Payroll</v>
      </c>
      <c r="D209" t="str">
        <f>INDEX('13 weeks CF'!$C$9:$C$59,MATCH(C209,'13 weeks CF'!$C$9:$C$59,0))</f>
        <v>Payroll</v>
      </c>
      <c r="E209" s="3">
        <v>208</v>
      </c>
      <c r="F209" s="2">
        <v>45240</v>
      </c>
      <c r="G209" s="3">
        <v>79799</v>
      </c>
      <c r="H209" s="4" t="s">
        <v>7</v>
      </c>
      <c r="I209" s="5">
        <v>-840</v>
      </c>
      <c r="J209" s="5">
        <v>274990</v>
      </c>
    </row>
    <row r="210" spans="1:10" x14ac:dyDescent="0.3">
      <c r="A210" s="11">
        <f t="shared" si="6"/>
        <v>45241</v>
      </c>
      <c r="B210" t="str">
        <f t="shared" si="7"/>
        <v>209CHECK</v>
      </c>
      <c r="C210" t="str" cm="1">
        <f t="array" ref="C210">IFERROR(INDEX(Table1[Category],MATCH(B210,Table1[Unique ID Matches],0)),INDEX(Table2[Category],MATCH(TRUE,ISNUMBER(SEARCH(Table2[Unique ID Contains],B210)),0)))</f>
        <v>Payroll</v>
      </c>
      <c r="D210" t="str">
        <f>INDEX('13 weeks CF'!$C$9:$C$59,MATCH(C210,'13 weeks CF'!$C$9:$C$59,0))</f>
        <v>Payroll</v>
      </c>
      <c r="E210" s="3">
        <v>209</v>
      </c>
      <c r="F210" s="2">
        <v>45240</v>
      </c>
      <c r="G210" s="3">
        <v>79803</v>
      </c>
      <c r="H210" s="4" t="s">
        <v>7</v>
      </c>
      <c r="I210" s="5">
        <v>-160</v>
      </c>
      <c r="J210" s="5">
        <v>274830</v>
      </c>
    </row>
    <row r="211" spans="1:10" x14ac:dyDescent="0.3">
      <c r="A211" s="11">
        <f t="shared" si="6"/>
        <v>45241</v>
      </c>
      <c r="B211" t="str">
        <f t="shared" si="7"/>
        <v>210CHECK</v>
      </c>
      <c r="C211" t="str" cm="1">
        <f t="array" ref="C211">IFERROR(INDEX(Table1[Category],MATCH(B211,Table1[Unique ID Matches],0)),INDEX(Table2[Category],MATCH(TRUE,ISNUMBER(SEARCH(Table2[Unique ID Contains],B211)),0)))</f>
        <v>Payroll</v>
      </c>
      <c r="D211" t="str">
        <f>INDEX('13 weeks CF'!$C$9:$C$59,MATCH(C211,'13 weeks CF'!$C$9:$C$59,0))</f>
        <v>Payroll</v>
      </c>
      <c r="E211" s="3">
        <v>210</v>
      </c>
      <c r="F211" s="2">
        <v>45240</v>
      </c>
      <c r="G211" s="3">
        <v>79869</v>
      </c>
      <c r="H211" s="4" t="s">
        <v>7</v>
      </c>
      <c r="I211" s="5">
        <v>-1160</v>
      </c>
      <c r="J211" s="5">
        <v>273670</v>
      </c>
    </row>
    <row r="212" spans="1:10" x14ac:dyDescent="0.3">
      <c r="A212" s="11">
        <f t="shared" si="6"/>
        <v>45241</v>
      </c>
      <c r="B212" t="str">
        <f t="shared" si="7"/>
        <v>211CHECK</v>
      </c>
      <c r="C212" t="str" cm="1">
        <f t="array" ref="C212">IFERROR(INDEX(Table1[Category],MATCH(B212,Table1[Unique ID Matches],0)),INDEX(Table2[Category],MATCH(TRUE,ISNUMBER(SEARCH(Table2[Unique ID Contains],B212)),0)))</f>
        <v>Payroll</v>
      </c>
      <c r="D212" t="str">
        <f>INDEX('13 weeks CF'!$C$9:$C$59,MATCH(C212,'13 weeks CF'!$C$9:$C$59,0))</f>
        <v>Payroll</v>
      </c>
      <c r="E212" s="3">
        <v>211</v>
      </c>
      <c r="F212" s="2">
        <v>45240</v>
      </c>
      <c r="G212" s="3">
        <v>79891</v>
      </c>
      <c r="H212" s="4" t="s">
        <v>7</v>
      </c>
      <c r="I212" s="5">
        <v>-1110</v>
      </c>
      <c r="J212" s="5">
        <v>272560</v>
      </c>
    </row>
    <row r="213" spans="1:10" x14ac:dyDescent="0.3">
      <c r="A213" s="11">
        <f t="shared" si="6"/>
        <v>45241</v>
      </c>
      <c r="B213" t="str">
        <f t="shared" si="7"/>
        <v>212CHECK</v>
      </c>
      <c r="C213" t="str" cm="1">
        <f t="array" ref="C213">IFERROR(INDEX(Table1[Category],MATCH(B213,Table1[Unique ID Matches],0)),INDEX(Table2[Category],MATCH(TRUE,ISNUMBER(SEARCH(Table2[Unique ID Contains],B213)),0)))</f>
        <v>Payroll</v>
      </c>
      <c r="D213" t="str">
        <f>INDEX('13 weeks CF'!$C$9:$C$59,MATCH(C213,'13 weeks CF'!$C$9:$C$59,0))</f>
        <v>Payroll</v>
      </c>
      <c r="E213" s="3">
        <v>212</v>
      </c>
      <c r="F213" s="2">
        <v>45240</v>
      </c>
      <c r="G213" s="3">
        <v>79892</v>
      </c>
      <c r="H213" s="4" t="s">
        <v>7</v>
      </c>
      <c r="I213" s="5">
        <v>-980</v>
      </c>
      <c r="J213" s="5">
        <v>271580</v>
      </c>
    </row>
    <row r="214" spans="1:10" x14ac:dyDescent="0.3">
      <c r="A214" s="11">
        <f t="shared" si="6"/>
        <v>45241</v>
      </c>
      <c r="B214" t="str">
        <f t="shared" si="7"/>
        <v>213CHECK</v>
      </c>
      <c r="C214" t="str" cm="1">
        <f t="array" ref="C214">IFERROR(INDEX(Table1[Category],MATCH(B214,Table1[Unique ID Matches],0)),INDEX(Table2[Category],MATCH(TRUE,ISNUMBER(SEARCH(Table2[Unique ID Contains],B214)),0)))</f>
        <v>Payroll</v>
      </c>
      <c r="D214" t="str">
        <f>INDEX('13 weeks CF'!$C$9:$C$59,MATCH(C214,'13 weeks CF'!$C$9:$C$59,0))</f>
        <v>Payroll</v>
      </c>
      <c r="E214" s="3">
        <v>213</v>
      </c>
      <c r="F214" s="2">
        <v>45240</v>
      </c>
      <c r="G214" s="3">
        <v>79893</v>
      </c>
      <c r="H214" s="4" t="s">
        <v>7</v>
      </c>
      <c r="I214" s="5">
        <v>-1070</v>
      </c>
      <c r="J214" s="5">
        <v>270510</v>
      </c>
    </row>
    <row r="215" spans="1:10" x14ac:dyDescent="0.3">
      <c r="A215" s="11">
        <f t="shared" si="6"/>
        <v>45241</v>
      </c>
      <c r="B215" t="str">
        <f t="shared" si="7"/>
        <v>214CHECK</v>
      </c>
      <c r="C215" t="str" cm="1">
        <f t="array" ref="C215">IFERROR(INDEX(Table1[Category],MATCH(B215,Table1[Unique ID Matches],0)),INDEX(Table2[Category],MATCH(TRUE,ISNUMBER(SEARCH(Table2[Unique ID Contains],B215)),0)))</f>
        <v>Payroll</v>
      </c>
      <c r="D215" t="str">
        <f>INDEX('13 weeks CF'!$C$9:$C$59,MATCH(C215,'13 weeks CF'!$C$9:$C$59,0))</f>
        <v>Payroll</v>
      </c>
      <c r="E215" s="3">
        <v>214</v>
      </c>
      <c r="F215" s="2">
        <v>45240</v>
      </c>
      <c r="G215" s="3">
        <v>79894</v>
      </c>
      <c r="H215" s="4" t="s">
        <v>7</v>
      </c>
      <c r="I215" s="5">
        <v>-1880</v>
      </c>
      <c r="J215" s="5">
        <v>268630</v>
      </c>
    </row>
    <row r="216" spans="1:10" x14ac:dyDescent="0.3">
      <c r="A216" s="11">
        <f t="shared" si="6"/>
        <v>45241</v>
      </c>
      <c r="B216" t="str">
        <f t="shared" si="7"/>
        <v>215CHECK</v>
      </c>
      <c r="C216" t="str" cm="1">
        <f t="array" ref="C216">IFERROR(INDEX(Table1[Category],MATCH(B216,Table1[Unique ID Matches],0)),INDEX(Table2[Category],MATCH(TRUE,ISNUMBER(SEARCH(Table2[Unique ID Contains],B216)),0)))</f>
        <v>Payroll</v>
      </c>
      <c r="D216" t="str">
        <f>INDEX('13 weeks CF'!$C$9:$C$59,MATCH(C216,'13 weeks CF'!$C$9:$C$59,0))</f>
        <v>Payroll</v>
      </c>
      <c r="E216" s="3">
        <v>215</v>
      </c>
      <c r="F216" s="2">
        <v>45240</v>
      </c>
      <c r="G216" s="3">
        <v>79895</v>
      </c>
      <c r="H216" s="4" t="s">
        <v>7</v>
      </c>
      <c r="I216" s="5">
        <v>-1190</v>
      </c>
      <c r="J216" s="5">
        <v>267440</v>
      </c>
    </row>
    <row r="217" spans="1:10" x14ac:dyDescent="0.3">
      <c r="A217" s="11">
        <f t="shared" si="6"/>
        <v>45241</v>
      </c>
      <c r="B217" t="str">
        <f t="shared" si="7"/>
        <v>216CHECK</v>
      </c>
      <c r="C217" t="str" cm="1">
        <f t="array" ref="C217">IFERROR(INDEX(Table1[Category],MATCH(B217,Table1[Unique ID Matches],0)),INDEX(Table2[Category],MATCH(TRUE,ISNUMBER(SEARCH(Table2[Unique ID Contains],B217)),0)))</f>
        <v>Payroll</v>
      </c>
      <c r="D217" t="str">
        <f>INDEX('13 weeks CF'!$C$9:$C$59,MATCH(C217,'13 weeks CF'!$C$9:$C$59,0))</f>
        <v>Payroll</v>
      </c>
      <c r="E217" s="3">
        <v>216</v>
      </c>
      <c r="F217" s="2">
        <v>45240</v>
      </c>
      <c r="G217" s="3">
        <v>79896</v>
      </c>
      <c r="H217" s="4" t="s">
        <v>7</v>
      </c>
      <c r="I217" s="5">
        <v>-970</v>
      </c>
      <c r="J217" s="5">
        <v>266470</v>
      </c>
    </row>
    <row r="218" spans="1:10" x14ac:dyDescent="0.3">
      <c r="A218" s="11">
        <f t="shared" si="6"/>
        <v>45241</v>
      </c>
      <c r="B218" t="str">
        <f t="shared" si="7"/>
        <v>217CHECK</v>
      </c>
      <c r="C218" t="str" cm="1">
        <f t="array" ref="C218">IFERROR(INDEX(Table1[Category],MATCH(B218,Table1[Unique ID Matches],0)),INDEX(Table2[Category],MATCH(TRUE,ISNUMBER(SEARCH(Table2[Unique ID Contains],B218)),0)))</f>
        <v>Payroll</v>
      </c>
      <c r="D218" t="str">
        <f>INDEX('13 weeks CF'!$C$9:$C$59,MATCH(C218,'13 weeks CF'!$C$9:$C$59,0))</f>
        <v>Payroll</v>
      </c>
      <c r="E218" s="3">
        <v>217</v>
      </c>
      <c r="F218" s="2">
        <v>45240</v>
      </c>
      <c r="G218" s="3">
        <v>79897</v>
      </c>
      <c r="H218" s="4" t="s">
        <v>7</v>
      </c>
      <c r="I218" s="5">
        <v>-1160</v>
      </c>
      <c r="J218" s="5">
        <v>265310</v>
      </c>
    </row>
    <row r="219" spans="1:10" x14ac:dyDescent="0.3">
      <c r="A219" s="11">
        <f t="shared" si="6"/>
        <v>45241</v>
      </c>
      <c r="B219" t="str">
        <f t="shared" si="7"/>
        <v>218CHECK</v>
      </c>
      <c r="C219" t="str" cm="1">
        <f t="array" ref="C219">IFERROR(INDEX(Table1[Category],MATCH(B219,Table1[Unique ID Matches],0)),INDEX(Table2[Category],MATCH(TRUE,ISNUMBER(SEARCH(Table2[Unique ID Contains],B219)),0)))</f>
        <v>Payroll</v>
      </c>
      <c r="D219" t="str">
        <f>INDEX('13 weeks CF'!$C$9:$C$59,MATCH(C219,'13 weeks CF'!$C$9:$C$59,0))</f>
        <v>Payroll</v>
      </c>
      <c r="E219" s="3">
        <v>218</v>
      </c>
      <c r="F219" s="2">
        <v>45240</v>
      </c>
      <c r="G219" s="3">
        <v>79900</v>
      </c>
      <c r="H219" s="4" t="s">
        <v>7</v>
      </c>
      <c r="I219" s="5">
        <v>-520</v>
      </c>
      <c r="J219" s="5">
        <v>264790</v>
      </c>
    </row>
    <row r="220" spans="1:10" x14ac:dyDescent="0.3">
      <c r="A220" s="11">
        <f t="shared" si="6"/>
        <v>45241</v>
      </c>
      <c r="B220" t="str">
        <f t="shared" si="7"/>
        <v>219CHECK</v>
      </c>
      <c r="C220" t="str" cm="1">
        <f t="array" ref="C220">IFERROR(INDEX(Table1[Category],MATCH(B220,Table1[Unique ID Matches],0)),INDEX(Table2[Category],MATCH(TRUE,ISNUMBER(SEARCH(Table2[Unique ID Contains],B220)),0)))</f>
        <v>Payroll</v>
      </c>
      <c r="D220" t="str">
        <f>INDEX('13 weeks CF'!$C$9:$C$59,MATCH(C220,'13 weeks CF'!$C$9:$C$59,0))</f>
        <v>Payroll</v>
      </c>
      <c r="E220" s="3">
        <v>219</v>
      </c>
      <c r="F220" s="2">
        <v>45240</v>
      </c>
      <c r="G220" s="3">
        <v>79901</v>
      </c>
      <c r="H220" s="4" t="s">
        <v>7</v>
      </c>
      <c r="I220" s="5">
        <v>-1020</v>
      </c>
      <c r="J220" s="5">
        <v>263770</v>
      </c>
    </row>
    <row r="221" spans="1:10" x14ac:dyDescent="0.3">
      <c r="A221" s="11">
        <f t="shared" si="6"/>
        <v>45241</v>
      </c>
      <c r="B221" t="str">
        <f t="shared" si="7"/>
        <v>220CHECK</v>
      </c>
      <c r="C221" t="str" cm="1">
        <f t="array" ref="C221">IFERROR(INDEX(Table1[Category],MATCH(B221,Table1[Unique ID Matches],0)),INDEX(Table2[Category],MATCH(TRUE,ISNUMBER(SEARCH(Table2[Unique ID Contains],B221)),0)))</f>
        <v>Payroll</v>
      </c>
      <c r="D221" t="str">
        <f>INDEX('13 weeks CF'!$C$9:$C$59,MATCH(C221,'13 weeks CF'!$C$9:$C$59,0))</f>
        <v>Payroll</v>
      </c>
      <c r="E221" s="3">
        <v>220</v>
      </c>
      <c r="F221" s="2">
        <v>45240</v>
      </c>
      <c r="G221" s="3">
        <v>79902</v>
      </c>
      <c r="H221" s="4" t="s">
        <v>7</v>
      </c>
      <c r="I221" s="5">
        <v>-1190</v>
      </c>
      <c r="J221" s="5">
        <v>262580</v>
      </c>
    </row>
    <row r="222" spans="1:10" x14ac:dyDescent="0.3">
      <c r="A222" s="11">
        <f t="shared" si="6"/>
        <v>45241</v>
      </c>
      <c r="B222" t="str">
        <f t="shared" si="7"/>
        <v>221CHECK</v>
      </c>
      <c r="C222" t="str" cm="1">
        <f t="array" ref="C222">IFERROR(INDEX(Table1[Category],MATCH(B222,Table1[Unique ID Matches],0)),INDEX(Table2[Category],MATCH(TRUE,ISNUMBER(SEARCH(Table2[Unique ID Contains],B222)),0)))</f>
        <v>Payroll</v>
      </c>
      <c r="D222" t="str">
        <f>INDEX('13 weeks CF'!$C$9:$C$59,MATCH(C222,'13 weeks CF'!$C$9:$C$59,0))</f>
        <v>Payroll</v>
      </c>
      <c r="E222" s="3">
        <v>221</v>
      </c>
      <c r="F222" s="2">
        <v>45240</v>
      </c>
      <c r="G222" s="3">
        <v>79903</v>
      </c>
      <c r="H222" s="4" t="s">
        <v>7</v>
      </c>
      <c r="I222" s="5">
        <v>-1130</v>
      </c>
      <c r="J222" s="5">
        <v>261450</v>
      </c>
    </row>
    <row r="223" spans="1:10" x14ac:dyDescent="0.3">
      <c r="A223" s="11">
        <f t="shared" si="6"/>
        <v>45241</v>
      </c>
      <c r="B223" t="str">
        <f t="shared" si="7"/>
        <v>222CHECK</v>
      </c>
      <c r="C223" t="str" cm="1">
        <f t="array" ref="C223">IFERROR(INDEX(Table1[Category],MATCH(B223,Table1[Unique ID Matches],0)),INDEX(Table2[Category],MATCH(TRUE,ISNUMBER(SEARCH(Table2[Unique ID Contains],B223)),0)))</f>
        <v>Payroll</v>
      </c>
      <c r="D223" t="str">
        <f>INDEX('13 weeks CF'!$C$9:$C$59,MATCH(C223,'13 weeks CF'!$C$9:$C$59,0))</f>
        <v>Payroll</v>
      </c>
      <c r="E223" s="3">
        <v>222</v>
      </c>
      <c r="F223" s="2">
        <v>45240</v>
      </c>
      <c r="G223" s="3">
        <v>79904</v>
      </c>
      <c r="H223" s="4" t="s">
        <v>7</v>
      </c>
      <c r="I223" s="5">
        <v>-1420</v>
      </c>
      <c r="J223" s="5">
        <v>260030</v>
      </c>
    </row>
    <row r="224" spans="1:10" x14ac:dyDescent="0.3">
      <c r="A224" s="11">
        <f t="shared" si="6"/>
        <v>45241</v>
      </c>
      <c r="B224" t="str">
        <f t="shared" si="7"/>
        <v>223CHECK</v>
      </c>
      <c r="C224" t="str" cm="1">
        <f t="array" ref="C224">IFERROR(INDEX(Table1[Category],MATCH(B224,Table1[Unique ID Matches],0)),INDEX(Table2[Category],MATCH(TRUE,ISNUMBER(SEARCH(Table2[Unique ID Contains],B224)),0)))</f>
        <v>Payroll</v>
      </c>
      <c r="D224" t="str">
        <f>INDEX('13 weeks CF'!$C$9:$C$59,MATCH(C224,'13 weeks CF'!$C$9:$C$59,0))</f>
        <v>Payroll</v>
      </c>
      <c r="E224" s="3">
        <v>223</v>
      </c>
      <c r="F224" s="2">
        <v>45240</v>
      </c>
      <c r="G224" s="3">
        <v>79905</v>
      </c>
      <c r="H224" s="4" t="s">
        <v>7</v>
      </c>
      <c r="I224" s="5">
        <v>-1020</v>
      </c>
      <c r="J224" s="5">
        <v>259010</v>
      </c>
    </row>
    <row r="225" spans="1:10" x14ac:dyDescent="0.3">
      <c r="A225" s="11">
        <f t="shared" si="6"/>
        <v>45241</v>
      </c>
      <c r="B225" t="str">
        <f t="shared" si="7"/>
        <v>224CHECK</v>
      </c>
      <c r="C225" t="str" cm="1">
        <f t="array" ref="C225">IFERROR(INDEX(Table1[Category],MATCH(B225,Table1[Unique ID Matches],0)),INDEX(Table2[Category],MATCH(TRUE,ISNUMBER(SEARCH(Table2[Unique ID Contains],B225)),0)))</f>
        <v>Payroll</v>
      </c>
      <c r="D225" t="str">
        <f>INDEX('13 weeks CF'!$C$9:$C$59,MATCH(C225,'13 weeks CF'!$C$9:$C$59,0))</f>
        <v>Payroll</v>
      </c>
      <c r="E225" s="3">
        <v>224</v>
      </c>
      <c r="F225" s="2">
        <v>45240</v>
      </c>
      <c r="G225" s="3">
        <v>79906</v>
      </c>
      <c r="H225" s="4" t="s">
        <v>7</v>
      </c>
      <c r="I225" s="5">
        <v>-1500</v>
      </c>
      <c r="J225" s="5">
        <v>257510</v>
      </c>
    </row>
    <row r="226" spans="1:10" x14ac:dyDescent="0.3">
      <c r="A226" s="11">
        <f t="shared" si="6"/>
        <v>45241</v>
      </c>
      <c r="B226" t="str">
        <f t="shared" si="7"/>
        <v>225CHECK</v>
      </c>
      <c r="C226" t="str" cm="1">
        <f t="array" ref="C226">IFERROR(INDEX(Table1[Category],MATCH(B226,Table1[Unique ID Matches],0)),INDEX(Table2[Category],MATCH(TRUE,ISNUMBER(SEARCH(Table2[Unique ID Contains],B226)),0)))</f>
        <v>Payroll</v>
      </c>
      <c r="D226" t="str">
        <f>INDEX('13 weeks CF'!$C$9:$C$59,MATCH(C226,'13 weeks CF'!$C$9:$C$59,0))</f>
        <v>Payroll</v>
      </c>
      <c r="E226" s="3">
        <v>225</v>
      </c>
      <c r="F226" s="2">
        <v>45240</v>
      </c>
      <c r="G226" s="3">
        <v>79907</v>
      </c>
      <c r="H226" s="4" t="s">
        <v>7</v>
      </c>
      <c r="I226" s="5">
        <v>-1320</v>
      </c>
      <c r="J226" s="5">
        <v>256190</v>
      </c>
    </row>
    <row r="227" spans="1:10" x14ac:dyDescent="0.3">
      <c r="A227" s="11">
        <f t="shared" si="6"/>
        <v>45241</v>
      </c>
      <c r="B227" t="str">
        <f t="shared" si="7"/>
        <v>226CHECK</v>
      </c>
      <c r="C227" t="str" cm="1">
        <f t="array" ref="C227">IFERROR(INDEX(Table1[Category],MATCH(B227,Table1[Unique ID Matches],0)),INDEX(Table2[Category],MATCH(TRUE,ISNUMBER(SEARCH(Table2[Unique ID Contains],B227)),0)))</f>
        <v>Payroll</v>
      </c>
      <c r="D227" t="str">
        <f>INDEX('13 weeks CF'!$C$9:$C$59,MATCH(C227,'13 weeks CF'!$C$9:$C$59,0))</f>
        <v>Payroll</v>
      </c>
      <c r="E227" s="3">
        <v>226</v>
      </c>
      <c r="F227" s="2">
        <v>45240</v>
      </c>
      <c r="G227" s="3">
        <v>79908</v>
      </c>
      <c r="H227" s="4" t="s">
        <v>7</v>
      </c>
      <c r="I227" s="5">
        <v>-1060</v>
      </c>
      <c r="J227" s="5">
        <v>255130</v>
      </c>
    </row>
    <row r="228" spans="1:10" x14ac:dyDescent="0.3">
      <c r="A228" s="11">
        <f t="shared" si="6"/>
        <v>45241</v>
      </c>
      <c r="B228" t="str">
        <f t="shared" si="7"/>
        <v>227CHECK</v>
      </c>
      <c r="C228" t="str" cm="1">
        <f t="array" ref="C228">IFERROR(INDEX(Table1[Category],MATCH(B228,Table1[Unique ID Matches],0)),INDEX(Table2[Category],MATCH(TRUE,ISNUMBER(SEARCH(Table2[Unique ID Contains],B228)),0)))</f>
        <v>Payroll</v>
      </c>
      <c r="D228" t="str">
        <f>INDEX('13 weeks CF'!$C$9:$C$59,MATCH(C228,'13 weeks CF'!$C$9:$C$59,0))</f>
        <v>Payroll</v>
      </c>
      <c r="E228" s="3">
        <v>227</v>
      </c>
      <c r="F228" s="2">
        <v>45240</v>
      </c>
      <c r="G228" s="3">
        <v>79909</v>
      </c>
      <c r="H228" s="4" t="s">
        <v>7</v>
      </c>
      <c r="I228" s="5">
        <v>-970</v>
      </c>
      <c r="J228" s="5">
        <v>254160</v>
      </c>
    </row>
    <row r="229" spans="1:10" x14ac:dyDescent="0.3">
      <c r="A229" s="11">
        <f t="shared" si="6"/>
        <v>45241</v>
      </c>
      <c r="B229" t="str">
        <f t="shared" si="7"/>
        <v>228CHECK</v>
      </c>
      <c r="C229" t="str" cm="1">
        <f t="array" ref="C229">IFERROR(INDEX(Table1[Category],MATCH(B229,Table1[Unique ID Matches],0)),INDEX(Table2[Category],MATCH(TRUE,ISNUMBER(SEARCH(Table2[Unique ID Contains],B229)),0)))</f>
        <v>Payroll</v>
      </c>
      <c r="D229" t="str">
        <f>INDEX('13 weeks CF'!$C$9:$C$59,MATCH(C229,'13 weeks CF'!$C$9:$C$59,0))</f>
        <v>Payroll</v>
      </c>
      <c r="E229" s="3">
        <v>228</v>
      </c>
      <c r="F229" s="2">
        <v>45240</v>
      </c>
      <c r="G229" s="3">
        <v>79910</v>
      </c>
      <c r="H229" s="4" t="s">
        <v>7</v>
      </c>
      <c r="I229" s="5">
        <v>-970</v>
      </c>
      <c r="J229" s="5">
        <v>253190</v>
      </c>
    </row>
    <row r="230" spans="1:10" x14ac:dyDescent="0.3">
      <c r="A230" s="11">
        <f t="shared" si="6"/>
        <v>45241</v>
      </c>
      <c r="B230" t="str">
        <f t="shared" si="7"/>
        <v>229CHECK</v>
      </c>
      <c r="C230" t="str" cm="1">
        <f t="array" ref="C230">IFERROR(INDEX(Table1[Category],MATCH(B230,Table1[Unique ID Matches],0)),INDEX(Table2[Category],MATCH(TRUE,ISNUMBER(SEARCH(Table2[Unique ID Contains],B230)),0)))</f>
        <v>Payroll</v>
      </c>
      <c r="D230" t="str">
        <f>INDEX('13 weeks CF'!$C$9:$C$59,MATCH(C230,'13 weeks CF'!$C$9:$C$59,0))</f>
        <v>Payroll</v>
      </c>
      <c r="E230" s="3">
        <v>229</v>
      </c>
      <c r="F230" s="2">
        <v>45240</v>
      </c>
      <c r="G230" s="3">
        <v>79911</v>
      </c>
      <c r="H230" s="4" t="s">
        <v>7</v>
      </c>
      <c r="I230" s="5">
        <v>-970</v>
      </c>
      <c r="J230" s="5">
        <v>252220</v>
      </c>
    </row>
    <row r="231" spans="1:10" x14ac:dyDescent="0.3">
      <c r="A231" s="11">
        <f t="shared" si="6"/>
        <v>45241</v>
      </c>
      <c r="B231" t="str">
        <f t="shared" si="7"/>
        <v>230CHECK</v>
      </c>
      <c r="C231" t="str" cm="1">
        <f t="array" ref="C231">IFERROR(INDEX(Table1[Category],MATCH(B231,Table1[Unique ID Matches],0)),INDEX(Table2[Category],MATCH(TRUE,ISNUMBER(SEARCH(Table2[Unique ID Contains],B231)),0)))</f>
        <v>Payroll</v>
      </c>
      <c r="D231" t="str">
        <f>INDEX('13 weeks CF'!$C$9:$C$59,MATCH(C231,'13 weeks CF'!$C$9:$C$59,0))</f>
        <v>Payroll</v>
      </c>
      <c r="E231" s="3">
        <v>230</v>
      </c>
      <c r="F231" s="2">
        <v>45240</v>
      </c>
      <c r="G231" s="3">
        <v>79912</v>
      </c>
      <c r="H231" s="4" t="s">
        <v>7</v>
      </c>
      <c r="I231" s="5">
        <v>-1220</v>
      </c>
      <c r="J231" s="5">
        <v>251000</v>
      </c>
    </row>
    <row r="232" spans="1:10" x14ac:dyDescent="0.3">
      <c r="A232" s="11">
        <f t="shared" si="6"/>
        <v>45241</v>
      </c>
      <c r="B232" t="str">
        <f t="shared" si="7"/>
        <v>231CHECK</v>
      </c>
      <c r="C232" t="str" cm="1">
        <f t="array" ref="C232">IFERROR(INDEX(Table1[Category],MATCH(B232,Table1[Unique ID Matches],0)),INDEX(Table2[Category],MATCH(TRUE,ISNUMBER(SEARCH(Table2[Unique ID Contains],B232)),0)))</f>
        <v>Payroll</v>
      </c>
      <c r="D232" t="str">
        <f>INDEX('13 weeks CF'!$C$9:$C$59,MATCH(C232,'13 weeks CF'!$C$9:$C$59,0))</f>
        <v>Payroll</v>
      </c>
      <c r="E232" s="3">
        <v>231</v>
      </c>
      <c r="F232" s="2">
        <v>45240</v>
      </c>
      <c r="G232" s="3">
        <v>79913</v>
      </c>
      <c r="H232" s="4" t="s">
        <v>7</v>
      </c>
      <c r="I232" s="5">
        <v>-1560</v>
      </c>
      <c r="J232" s="5">
        <v>249440</v>
      </c>
    </row>
    <row r="233" spans="1:10" x14ac:dyDescent="0.3">
      <c r="A233" s="11">
        <f t="shared" si="6"/>
        <v>45241</v>
      </c>
      <c r="B233" t="str">
        <f t="shared" si="7"/>
        <v>232CHECK</v>
      </c>
      <c r="C233" t="str" cm="1">
        <f t="array" ref="C233">IFERROR(INDEX(Table1[Category],MATCH(B233,Table1[Unique ID Matches],0)),INDEX(Table2[Category],MATCH(TRUE,ISNUMBER(SEARCH(Table2[Unique ID Contains],B233)),0)))</f>
        <v>Payroll</v>
      </c>
      <c r="D233" t="str">
        <f>INDEX('13 weeks CF'!$C$9:$C$59,MATCH(C233,'13 weeks CF'!$C$9:$C$59,0))</f>
        <v>Payroll</v>
      </c>
      <c r="E233" s="3">
        <v>232</v>
      </c>
      <c r="F233" s="2">
        <v>45240</v>
      </c>
      <c r="G233" s="3">
        <v>79914</v>
      </c>
      <c r="H233" s="4" t="s">
        <v>7</v>
      </c>
      <c r="I233" s="5">
        <v>-1120</v>
      </c>
      <c r="J233" s="5">
        <v>248320</v>
      </c>
    </row>
    <row r="234" spans="1:10" x14ac:dyDescent="0.3">
      <c r="A234" s="11">
        <f t="shared" si="6"/>
        <v>45241</v>
      </c>
      <c r="B234" t="str">
        <f t="shared" si="7"/>
        <v>233CHECK</v>
      </c>
      <c r="C234" t="str" cm="1">
        <f t="array" ref="C234">IFERROR(INDEX(Table1[Category],MATCH(B234,Table1[Unique ID Matches],0)),INDEX(Table2[Category],MATCH(TRUE,ISNUMBER(SEARCH(Table2[Unique ID Contains],B234)),0)))</f>
        <v>Payroll</v>
      </c>
      <c r="D234" t="str">
        <f>INDEX('13 weeks CF'!$C$9:$C$59,MATCH(C234,'13 weeks CF'!$C$9:$C$59,0))</f>
        <v>Payroll</v>
      </c>
      <c r="E234" s="3">
        <v>233</v>
      </c>
      <c r="F234" s="2">
        <v>45240</v>
      </c>
      <c r="G234" s="3">
        <v>79915</v>
      </c>
      <c r="H234" s="4" t="s">
        <v>7</v>
      </c>
      <c r="I234" s="5">
        <v>-940</v>
      </c>
      <c r="J234" s="5">
        <v>247380</v>
      </c>
    </row>
    <row r="235" spans="1:10" x14ac:dyDescent="0.3">
      <c r="A235" s="11">
        <f t="shared" si="6"/>
        <v>45241</v>
      </c>
      <c r="B235" t="str">
        <f t="shared" si="7"/>
        <v>234CHECK</v>
      </c>
      <c r="C235" t="str" cm="1">
        <f t="array" ref="C235">IFERROR(INDEX(Table1[Category],MATCH(B235,Table1[Unique ID Matches],0)),INDEX(Table2[Category],MATCH(TRUE,ISNUMBER(SEARCH(Table2[Unique ID Contains],B235)),0)))</f>
        <v>Payroll</v>
      </c>
      <c r="D235" t="str">
        <f>INDEX('13 weeks CF'!$C$9:$C$59,MATCH(C235,'13 weeks CF'!$C$9:$C$59,0))</f>
        <v>Payroll</v>
      </c>
      <c r="E235" s="3">
        <v>234</v>
      </c>
      <c r="F235" s="2">
        <v>45240</v>
      </c>
      <c r="G235" s="3">
        <v>79916</v>
      </c>
      <c r="H235" s="4" t="s">
        <v>7</v>
      </c>
      <c r="I235" s="5">
        <v>-1160</v>
      </c>
      <c r="J235" s="5">
        <v>246220</v>
      </c>
    </row>
    <row r="236" spans="1:10" x14ac:dyDescent="0.3">
      <c r="A236" s="11">
        <f t="shared" si="6"/>
        <v>45241</v>
      </c>
      <c r="B236" t="str">
        <f t="shared" si="7"/>
        <v>235CHECK</v>
      </c>
      <c r="C236" t="str" cm="1">
        <f t="array" ref="C236">IFERROR(INDEX(Table1[Category],MATCH(B236,Table1[Unique ID Matches],0)),INDEX(Table2[Category],MATCH(TRUE,ISNUMBER(SEARCH(Table2[Unique ID Contains],B236)),0)))</f>
        <v>Payroll</v>
      </c>
      <c r="D236" t="str">
        <f>INDEX('13 weeks CF'!$C$9:$C$59,MATCH(C236,'13 weeks CF'!$C$9:$C$59,0))</f>
        <v>Payroll</v>
      </c>
      <c r="E236" s="3">
        <v>235</v>
      </c>
      <c r="F236" s="2">
        <v>45240</v>
      </c>
      <c r="G236" s="3">
        <v>79917</v>
      </c>
      <c r="H236" s="4" t="s">
        <v>7</v>
      </c>
      <c r="I236" s="5">
        <v>-1220</v>
      </c>
      <c r="J236" s="5">
        <v>245000</v>
      </c>
    </row>
    <row r="237" spans="1:10" x14ac:dyDescent="0.3">
      <c r="A237" s="11">
        <f t="shared" si="6"/>
        <v>45241</v>
      </c>
      <c r="B237" t="str">
        <f t="shared" si="7"/>
        <v>236CHECK</v>
      </c>
      <c r="C237" t="str" cm="1">
        <f t="array" ref="C237">IFERROR(INDEX(Table1[Category],MATCH(B237,Table1[Unique ID Matches],0)),INDEX(Table2[Category],MATCH(TRUE,ISNUMBER(SEARCH(Table2[Unique ID Contains],B237)),0)))</f>
        <v>Payroll</v>
      </c>
      <c r="D237" t="str">
        <f>INDEX('13 weeks CF'!$C$9:$C$59,MATCH(C237,'13 weeks CF'!$C$9:$C$59,0))</f>
        <v>Payroll</v>
      </c>
      <c r="E237" s="3">
        <v>236</v>
      </c>
      <c r="F237" s="2">
        <v>45240</v>
      </c>
      <c r="G237" s="3">
        <v>79918</v>
      </c>
      <c r="H237" s="4" t="s">
        <v>7</v>
      </c>
      <c r="I237" s="5">
        <v>-1160</v>
      </c>
      <c r="J237" s="5">
        <v>243840</v>
      </c>
    </row>
    <row r="238" spans="1:10" x14ac:dyDescent="0.3">
      <c r="A238" s="11">
        <f t="shared" si="6"/>
        <v>45241</v>
      </c>
      <c r="B238" t="str">
        <f t="shared" si="7"/>
        <v>237CHECK</v>
      </c>
      <c r="C238" t="str" cm="1">
        <f t="array" ref="C238">IFERROR(INDEX(Table1[Category],MATCH(B238,Table1[Unique ID Matches],0)),INDEX(Table2[Category],MATCH(TRUE,ISNUMBER(SEARCH(Table2[Unique ID Contains],B238)),0)))</f>
        <v>Payroll</v>
      </c>
      <c r="D238" t="str">
        <f>INDEX('13 weeks CF'!$C$9:$C$59,MATCH(C238,'13 weeks CF'!$C$9:$C$59,0))</f>
        <v>Payroll</v>
      </c>
      <c r="E238" s="3">
        <v>237</v>
      </c>
      <c r="F238" s="2">
        <v>45240</v>
      </c>
      <c r="G238" s="3">
        <v>79919</v>
      </c>
      <c r="H238" s="4" t="s">
        <v>7</v>
      </c>
      <c r="I238" s="5">
        <v>-770</v>
      </c>
      <c r="J238" s="5">
        <v>243070</v>
      </c>
    </row>
    <row r="239" spans="1:10" x14ac:dyDescent="0.3">
      <c r="A239" s="11">
        <f t="shared" si="6"/>
        <v>45241</v>
      </c>
      <c r="B239" t="str">
        <f t="shared" si="7"/>
        <v>238CHECK</v>
      </c>
      <c r="C239" t="str" cm="1">
        <f t="array" ref="C239">IFERROR(INDEX(Table1[Category],MATCH(B239,Table1[Unique ID Matches],0)),INDEX(Table2[Category],MATCH(TRUE,ISNUMBER(SEARCH(Table2[Unique ID Contains],B239)),0)))</f>
        <v>Payroll</v>
      </c>
      <c r="D239" t="str">
        <f>INDEX('13 weeks CF'!$C$9:$C$59,MATCH(C239,'13 weeks CF'!$C$9:$C$59,0))</f>
        <v>Payroll</v>
      </c>
      <c r="E239" s="3">
        <v>238</v>
      </c>
      <c r="F239" s="2">
        <v>45240</v>
      </c>
      <c r="G239" s="3">
        <v>79920</v>
      </c>
      <c r="H239" s="4" t="s">
        <v>7</v>
      </c>
      <c r="I239" s="5">
        <v>-1580</v>
      </c>
      <c r="J239" s="5">
        <v>241490</v>
      </c>
    </row>
    <row r="240" spans="1:10" x14ac:dyDescent="0.3">
      <c r="A240" s="11">
        <f t="shared" si="6"/>
        <v>45241</v>
      </c>
      <c r="B240" t="str">
        <f t="shared" si="7"/>
        <v>239CHECK</v>
      </c>
      <c r="C240" t="str" cm="1">
        <f t="array" ref="C240">IFERROR(INDEX(Table1[Category],MATCH(B240,Table1[Unique ID Matches],0)),INDEX(Table2[Category],MATCH(TRUE,ISNUMBER(SEARCH(Table2[Unique ID Contains],B240)),0)))</f>
        <v>Payroll</v>
      </c>
      <c r="D240" t="str">
        <f>INDEX('13 weeks CF'!$C$9:$C$59,MATCH(C240,'13 weeks CF'!$C$9:$C$59,0))</f>
        <v>Payroll</v>
      </c>
      <c r="E240" s="3">
        <v>239</v>
      </c>
      <c r="F240" s="2">
        <v>45240</v>
      </c>
      <c r="G240" s="3">
        <v>79924</v>
      </c>
      <c r="H240" s="4" t="s">
        <v>7</v>
      </c>
      <c r="I240" s="5">
        <v>-1320</v>
      </c>
      <c r="J240" s="5">
        <v>240170</v>
      </c>
    </row>
    <row r="241" spans="1:10" x14ac:dyDescent="0.3">
      <c r="A241" s="11">
        <f t="shared" si="6"/>
        <v>45241</v>
      </c>
      <c r="B241" t="str">
        <f t="shared" si="7"/>
        <v>240CHECK</v>
      </c>
      <c r="C241" t="str" cm="1">
        <f t="array" ref="C241">IFERROR(INDEX(Table1[Category],MATCH(B241,Table1[Unique ID Matches],0)),INDEX(Table2[Category],MATCH(TRUE,ISNUMBER(SEARCH(Table2[Unique ID Contains],B241)),0)))</f>
        <v>Payroll</v>
      </c>
      <c r="D241" t="str">
        <f>INDEX('13 weeks CF'!$C$9:$C$59,MATCH(C241,'13 weeks CF'!$C$9:$C$59,0))</f>
        <v>Payroll</v>
      </c>
      <c r="E241" s="3">
        <v>240</v>
      </c>
      <c r="F241" s="2">
        <v>45240</v>
      </c>
      <c r="G241" s="3">
        <v>79925</v>
      </c>
      <c r="H241" s="4" t="s">
        <v>7</v>
      </c>
      <c r="I241" s="5">
        <v>-1060</v>
      </c>
      <c r="J241" s="5">
        <v>239110</v>
      </c>
    </row>
    <row r="242" spans="1:10" x14ac:dyDescent="0.3">
      <c r="A242" s="11">
        <f t="shared" si="6"/>
        <v>45248</v>
      </c>
      <c r="B242" t="str">
        <f t="shared" si="7"/>
        <v>241WEB AUTHORIZED PMT KRYPTONIX</v>
      </c>
      <c r="C242" t="str" cm="1">
        <f t="array" ref="C242">IFERROR(INDEX(Table1[Category],MATCH(B242,Table1[Unique ID Matches],0)),INDEX(Table2[Category],MATCH(TRUE,ISNUMBER(SEARCH(Table2[Unique ID Contains],B242)),0)))</f>
        <v>Dues &amp; Subscriptions</v>
      </c>
      <c r="D242" t="str">
        <f>INDEX('13 weeks CF'!$C$9:$C$59,MATCH(C242,'13 weeks CF'!$C$9:$C$59,0))</f>
        <v>Dues &amp; Subscriptions</v>
      </c>
      <c r="E242" s="3">
        <v>241</v>
      </c>
      <c r="F242" s="2">
        <v>45243</v>
      </c>
      <c r="G242" s="3" t="s">
        <v>5</v>
      </c>
      <c r="H242" s="4" t="s">
        <v>6</v>
      </c>
      <c r="I242" s="5">
        <v>-80</v>
      </c>
      <c r="J242" s="5">
        <v>239030</v>
      </c>
    </row>
    <row r="243" spans="1:10" x14ac:dyDescent="0.3">
      <c r="A243" s="11">
        <f t="shared" si="6"/>
        <v>45248</v>
      </c>
      <c r="B243" t="str">
        <f t="shared" si="7"/>
        <v>242WEB AUTHORIZED PMT KRYPTONIX</v>
      </c>
      <c r="C243" t="str" cm="1">
        <f t="array" ref="C243">IFERROR(INDEX(Table1[Category],MATCH(B243,Table1[Unique ID Matches],0)),INDEX(Table2[Category],MATCH(TRUE,ISNUMBER(SEARCH(Table2[Unique ID Contains],B243)),0)))</f>
        <v>Dues &amp; Subscriptions</v>
      </c>
      <c r="D243" t="str">
        <f>INDEX('13 weeks CF'!$C$9:$C$59,MATCH(C243,'13 weeks CF'!$C$9:$C$59,0))</f>
        <v>Dues &amp; Subscriptions</v>
      </c>
      <c r="E243" s="3">
        <v>242</v>
      </c>
      <c r="F243" s="2">
        <v>45243</v>
      </c>
      <c r="G243" s="3" t="s">
        <v>5</v>
      </c>
      <c r="H243" s="4" t="s">
        <v>6</v>
      </c>
      <c r="I243" s="5">
        <v>-230</v>
      </c>
      <c r="J243" s="5">
        <v>238800</v>
      </c>
    </row>
    <row r="244" spans="1:10" x14ac:dyDescent="0.3">
      <c r="A244" s="11">
        <f t="shared" si="6"/>
        <v>45248</v>
      </c>
      <c r="B244" t="str">
        <f t="shared" si="7"/>
        <v>243ELECTRONIC WITHDRAWAL JUNCTIX</v>
      </c>
      <c r="C244" t="str" cm="1">
        <f t="array" ref="C244">IFERROR(INDEX(Table1[Category],MATCH(B244,Table1[Unique ID Matches],0)),INDEX(Table2[Category],MATCH(TRUE,ISNUMBER(SEARCH(Table2[Unique ID Contains],B244)),0)))</f>
        <v>Other Non-operating Outflows</v>
      </c>
      <c r="D244" t="str">
        <f>INDEX('13 weeks CF'!$C$9:$C$59,MATCH(C244,'13 weeks CF'!$C$9:$C$59,0))</f>
        <v>Other Non-operating Outflows</v>
      </c>
      <c r="E244" s="3">
        <v>243</v>
      </c>
      <c r="F244" s="2">
        <v>45243</v>
      </c>
      <c r="G244" s="3" t="s">
        <v>5</v>
      </c>
      <c r="H244" s="4" t="s">
        <v>27</v>
      </c>
      <c r="I244" s="5">
        <v>-1140</v>
      </c>
      <c r="J244" s="5">
        <v>237660</v>
      </c>
    </row>
    <row r="245" spans="1:10" x14ac:dyDescent="0.3">
      <c r="A245" s="11">
        <f t="shared" si="6"/>
        <v>45248</v>
      </c>
      <c r="B245" t="str">
        <f t="shared" si="7"/>
        <v>244CHECK</v>
      </c>
      <c r="C245" t="str" cm="1">
        <f t="array" ref="C245">IFERROR(INDEX(Table1[Category],MATCH(B245,Table1[Unique ID Matches],0)),INDEX(Table2[Category],MATCH(TRUE,ISNUMBER(SEARCH(Table2[Unique ID Contains],B245)),0)))</f>
        <v>Payroll</v>
      </c>
      <c r="D245" t="str">
        <f>INDEX('13 weeks CF'!$C$9:$C$59,MATCH(C245,'13 weeks CF'!$C$9:$C$59,0))</f>
        <v>Payroll</v>
      </c>
      <c r="E245" s="3">
        <v>244</v>
      </c>
      <c r="F245" s="2">
        <v>45243</v>
      </c>
      <c r="G245" s="3">
        <v>79777</v>
      </c>
      <c r="H245" s="4" t="s">
        <v>7</v>
      </c>
      <c r="I245" s="5">
        <v>-1610</v>
      </c>
      <c r="J245" s="5">
        <v>236050</v>
      </c>
    </row>
    <row r="246" spans="1:10" x14ac:dyDescent="0.3">
      <c r="A246" s="11">
        <f t="shared" si="6"/>
        <v>45248</v>
      </c>
      <c r="B246" t="str">
        <f t="shared" si="7"/>
        <v>245CHECK</v>
      </c>
      <c r="C246" t="str" cm="1">
        <f t="array" ref="C246">IFERROR(INDEX(Table1[Category],MATCH(B246,Table1[Unique ID Matches],0)),INDEX(Table2[Category],MATCH(TRUE,ISNUMBER(SEARCH(Table2[Unique ID Contains],B246)),0)))</f>
        <v>Accounts Payable</v>
      </c>
      <c r="D246" t="str">
        <f>INDEX('13 weeks CF'!$C$9:$C$59,MATCH(C246,'13 weeks CF'!$C$9:$C$59,0))</f>
        <v>Accounts Payable</v>
      </c>
      <c r="E246" s="3">
        <v>245</v>
      </c>
      <c r="F246" s="2">
        <v>45243</v>
      </c>
      <c r="G246" s="3">
        <v>79801</v>
      </c>
      <c r="H246" s="4" t="s">
        <v>7</v>
      </c>
      <c r="I246" s="5">
        <v>-4230</v>
      </c>
      <c r="J246" s="5">
        <v>231820</v>
      </c>
    </row>
    <row r="247" spans="1:10" x14ac:dyDescent="0.3">
      <c r="A247" s="11">
        <f t="shared" si="6"/>
        <v>45248</v>
      </c>
      <c r="B247" t="str">
        <f t="shared" si="7"/>
        <v>246CHECK</v>
      </c>
      <c r="C247" t="str" cm="1">
        <f t="array" ref="C247">IFERROR(INDEX(Table1[Category],MATCH(B247,Table1[Unique ID Matches],0)),INDEX(Table2[Category],MATCH(TRUE,ISNUMBER(SEARCH(Table2[Unique ID Contains],B247)),0)))</f>
        <v>Payroll</v>
      </c>
      <c r="D247" t="str">
        <f>INDEX('13 weeks CF'!$C$9:$C$59,MATCH(C247,'13 weeks CF'!$C$9:$C$59,0))</f>
        <v>Payroll</v>
      </c>
      <c r="E247" s="3">
        <v>246</v>
      </c>
      <c r="F247" s="2">
        <v>45243</v>
      </c>
      <c r="G247" s="3">
        <v>79889</v>
      </c>
      <c r="H247" s="4" t="s">
        <v>7</v>
      </c>
      <c r="I247" s="5">
        <v>-1370</v>
      </c>
      <c r="J247" s="5">
        <v>230450</v>
      </c>
    </row>
    <row r="248" spans="1:10" x14ac:dyDescent="0.3">
      <c r="A248" s="11">
        <f t="shared" si="6"/>
        <v>45248</v>
      </c>
      <c r="B248" t="str">
        <f t="shared" si="7"/>
        <v>247CHECK</v>
      </c>
      <c r="C248" t="str" cm="1">
        <f t="array" ref="C248">IFERROR(INDEX(Table1[Category],MATCH(B248,Table1[Unique ID Matches],0)),INDEX(Table2[Category],MATCH(TRUE,ISNUMBER(SEARCH(Table2[Unique ID Contains],B248)),0)))</f>
        <v>Payroll</v>
      </c>
      <c r="D248" t="str">
        <f>INDEX('13 weeks CF'!$C$9:$C$59,MATCH(C248,'13 weeks CF'!$C$9:$C$59,0))</f>
        <v>Payroll</v>
      </c>
      <c r="E248" s="3">
        <v>247</v>
      </c>
      <c r="F248" s="2">
        <v>45243</v>
      </c>
      <c r="G248" s="3">
        <v>79899</v>
      </c>
      <c r="H248" s="4" t="s">
        <v>7</v>
      </c>
      <c r="I248" s="5">
        <v>-720</v>
      </c>
      <c r="J248" s="5">
        <v>229730</v>
      </c>
    </row>
    <row r="249" spans="1:10" x14ac:dyDescent="0.3">
      <c r="A249" s="11">
        <f t="shared" si="6"/>
        <v>45248</v>
      </c>
      <c r="B249" t="str">
        <f t="shared" si="7"/>
        <v>248CHECK</v>
      </c>
      <c r="C249" t="str" cm="1">
        <f t="array" ref="C249">IFERROR(INDEX(Table1[Category],MATCH(B249,Table1[Unique ID Matches],0)),INDEX(Table2[Category],MATCH(TRUE,ISNUMBER(SEARCH(Table2[Unique ID Contains],B249)),0)))</f>
        <v>Payroll</v>
      </c>
      <c r="D249" t="str">
        <f>INDEX('13 weeks CF'!$C$9:$C$59,MATCH(C249,'13 weeks CF'!$C$9:$C$59,0))</f>
        <v>Payroll</v>
      </c>
      <c r="E249" s="3">
        <v>248</v>
      </c>
      <c r="F249" s="2">
        <v>45243</v>
      </c>
      <c r="G249" s="3">
        <v>79922</v>
      </c>
      <c r="H249" s="4" t="s">
        <v>7</v>
      </c>
      <c r="I249" s="5">
        <v>-100</v>
      </c>
      <c r="J249" s="5">
        <v>229630</v>
      </c>
    </row>
    <row r="250" spans="1:10" x14ac:dyDescent="0.3">
      <c r="A250" s="11">
        <f t="shared" si="6"/>
        <v>45248</v>
      </c>
      <c r="B250" t="str">
        <f t="shared" si="7"/>
        <v>249CHECK</v>
      </c>
      <c r="C250" t="str" cm="1">
        <f t="array" ref="C250">IFERROR(INDEX(Table1[Category],MATCH(B250,Table1[Unique ID Matches],0)),INDEX(Table2[Category],MATCH(TRUE,ISNUMBER(SEARCH(Table2[Unique ID Contains],B250)),0)))</f>
        <v>Payroll</v>
      </c>
      <c r="D250" t="str">
        <f>INDEX('13 weeks CF'!$C$9:$C$59,MATCH(C250,'13 weeks CF'!$C$9:$C$59,0))</f>
        <v>Payroll</v>
      </c>
      <c r="E250" s="3">
        <v>249</v>
      </c>
      <c r="F250" s="2">
        <v>45244</v>
      </c>
      <c r="G250" s="3">
        <v>79791</v>
      </c>
      <c r="H250" s="4" t="s">
        <v>7</v>
      </c>
      <c r="I250" s="5">
        <v>-200</v>
      </c>
      <c r="J250" s="5">
        <v>229430</v>
      </c>
    </row>
    <row r="251" spans="1:10" x14ac:dyDescent="0.3">
      <c r="A251" s="11">
        <f t="shared" si="6"/>
        <v>45248</v>
      </c>
      <c r="B251" t="str">
        <f t="shared" si="7"/>
        <v>250CHECK</v>
      </c>
      <c r="C251" t="str" cm="1">
        <f t="array" ref="C251">IFERROR(INDEX(Table1[Category],MATCH(B251,Table1[Unique ID Matches],0)),INDEX(Table2[Category],MATCH(TRUE,ISNUMBER(SEARCH(Table2[Unique ID Contains],B251)),0)))</f>
        <v>Payroll</v>
      </c>
      <c r="D251" t="str">
        <f>INDEX('13 weeks CF'!$C$9:$C$59,MATCH(C251,'13 weeks CF'!$C$9:$C$59,0))</f>
        <v>Payroll</v>
      </c>
      <c r="E251" s="3">
        <v>250</v>
      </c>
      <c r="F251" s="2">
        <v>45244</v>
      </c>
      <c r="G251" s="3">
        <v>79797</v>
      </c>
      <c r="H251" s="4" t="s">
        <v>7</v>
      </c>
      <c r="I251" s="5">
        <v>-600</v>
      </c>
      <c r="J251" s="5">
        <v>228830</v>
      </c>
    </row>
    <row r="252" spans="1:10" x14ac:dyDescent="0.3">
      <c r="A252" s="11">
        <f t="shared" si="6"/>
        <v>45248</v>
      </c>
      <c r="B252" t="str">
        <f t="shared" si="7"/>
        <v>251CHECK</v>
      </c>
      <c r="C252" t="str" cm="1">
        <f t="array" ref="C252">IFERROR(INDEX(Table1[Category],MATCH(B252,Table1[Unique ID Matches],0)),INDEX(Table2[Category],MATCH(TRUE,ISNUMBER(SEARCH(Table2[Unique ID Contains],B252)),0)))</f>
        <v>Payroll</v>
      </c>
      <c r="D252" t="str">
        <f>INDEX('13 weeks CF'!$C$9:$C$59,MATCH(C252,'13 weeks CF'!$C$9:$C$59,0))</f>
        <v>Payroll</v>
      </c>
      <c r="E252" s="3">
        <v>251</v>
      </c>
      <c r="F252" s="2">
        <v>45244</v>
      </c>
      <c r="G252" s="3">
        <v>79802</v>
      </c>
      <c r="H252" s="4" t="s">
        <v>7</v>
      </c>
      <c r="I252" s="5">
        <v>-870</v>
      </c>
      <c r="J252" s="5">
        <v>227960</v>
      </c>
    </row>
    <row r="253" spans="1:10" x14ac:dyDescent="0.3">
      <c r="A253" s="11">
        <f t="shared" si="6"/>
        <v>45248</v>
      </c>
      <c r="B253" t="str">
        <f t="shared" si="7"/>
        <v>252ELECTRONIC WITHDRAWAL STATE DEPT REVENUE</v>
      </c>
      <c r="C253" t="str" cm="1">
        <f t="array" ref="C253">IFERROR(INDEX(Table1[Category],MATCH(B253,Table1[Unique ID Matches],0)),INDEX(Table2[Category],MATCH(TRUE,ISNUMBER(SEARCH(Table2[Unique ID Contains],B253)),0)))</f>
        <v>Tax Distributions</v>
      </c>
      <c r="D253" t="str">
        <f>INDEX('13 weeks CF'!$C$9:$C$59,MATCH(C253,'13 weeks CF'!$C$9:$C$59,0))</f>
        <v>Tax Distributions</v>
      </c>
      <c r="E253" s="3">
        <v>252</v>
      </c>
      <c r="F253" s="2">
        <v>45245</v>
      </c>
      <c r="G253" s="3" t="s">
        <v>5</v>
      </c>
      <c r="H253" s="4" t="s">
        <v>11</v>
      </c>
      <c r="I253" s="5">
        <v>-2190</v>
      </c>
      <c r="J253" s="5">
        <v>225770</v>
      </c>
    </row>
    <row r="254" spans="1:10" x14ac:dyDescent="0.3">
      <c r="A254" s="11">
        <f t="shared" si="6"/>
        <v>45248</v>
      </c>
      <c r="B254" t="str">
        <f t="shared" si="7"/>
        <v>253ELECTRONIC WITHDRAWAL IRS</v>
      </c>
      <c r="C254" t="str" cm="1">
        <f t="array" ref="C254">IFERROR(INDEX(Table1[Category],MATCH(B254,Table1[Unique ID Matches],0)),INDEX(Table2[Category],MATCH(TRUE,ISNUMBER(SEARCH(Table2[Unique ID Contains],B254)),0)))</f>
        <v>Tax Distributions</v>
      </c>
      <c r="D254" t="str">
        <f>INDEX('13 weeks CF'!$C$9:$C$59,MATCH(C254,'13 weeks CF'!$C$9:$C$59,0))</f>
        <v>Tax Distributions</v>
      </c>
      <c r="E254" s="3">
        <v>253</v>
      </c>
      <c r="F254" s="2">
        <v>45245</v>
      </c>
      <c r="G254" s="3" t="s">
        <v>5</v>
      </c>
      <c r="H254" s="4" t="s">
        <v>12</v>
      </c>
      <c r="I254" s="5">
        <v>-12010</v>
      </c>
      <c r="J254" s="5">
        <v>213760</v>
      </c>
    </row>
    <row r="255" spans="1:10" x14ac:dyDescent="0.3">
      <c r="A255" s="11">
        <f t="shared" si="6"/>
        <v>45248</v>
      </c>
      <c r="B255" t="str">
        <f t="shared" si="7"/>
        <v>254ELECTRONIC WITHDRAWAL DISCOVER</v>
      </c>
      <c r="C255" t="str" cm="1">
        <f t="array" ref="C255">IFERROR(INDEX(Table1[Category],MATCH(B255,Table1[Unique ID Matches],0)),INDEX(Table2[Category],MATCH(TRUE,ISNUMBER(SEARCH(Table2[Unique ID Contains],B255)),0)))</f>
        <v>Credit Cards</v>
      </c>
      <c r="D255" t="str">
        <f>INDEX('13 weeks CF'!$C$9:$C$59,MATCH(C255,'13 weeks CF'!$C$9:$C$59,0))</f>
        <v>Credit Cards</v>
      </c>
      <c r="E255" s="3">
        <v>254</v>
      </c>
      <c r="F255" s="2">
        <v>45245</v>
      </c>
      <c r="G255" s="3" t="s">
        <v>5</v>
      </c>
      <c r="H255" s="4" t="s">
        <v>25</v>
      </c>
      <c r="I255" s="5">
        <v>-100000</v>
      </c>
      <c r="J255" s="5">
        <v>113760</v>
      </c>
    </row>
    <row r="256" spans="1:10" x14ac:dyDescent="0.3">
      <c r="A256" s="11">
        <f t="shared" si="6"/>
        <v>45248</v>
      </c>
      <c r="B256" t="str">
        <f t="shared" si="7"/>
        <v>255CHECK</v>
      </c>
      <c r="C256" t="str" cm="1">
        <f t="array" ref="C256">IFERROR(INDEX(Table1[Category],MATCH(B256,Table1[Unique ID Matches],0)),INDEX(Table2[Category],MATCH(TRUE,ISNUMBER(SEARCH(Table2[Unique ID Contains],B256)),0)))</f>
        <v>Payroll</v>
      </c>
      <c r="D256" t="str">
        <f>INDEX('13 weeks CF'!$C$9:$C$59,MATCH(C256,'13 weeks CF'!$C$9:$C$59,0))</f>
        <v>Payroll</v>
      </c>
      <c r="E256" s="3">
        <v>255</v>
      </c>
      <c r="F256" s="2">
        <v>45245</v>
      </c>
      <c r="G256" s="3">
        <v>79800</v>
      </c>
      <c r="H256" s="4" t="s">
        <v>7</v>
      </c>
      <c r="I256" s="5">
        <v>-170</v>
      </c>
      <c r="J256" s="5">
        <v>113590</v>
      </c>
    </row>
    <row r="257" spans="1:10" x14ac:dyDescent="0.3">
      <c r="A257" s="11">
        <f t="shared" si="6"/>
        <v>45248</v>
      </c>
      <c r="B257" t="str">
        <f t="shared" si="7"/>
        <v>256CHECK</v>
      </c>
      <c r="C257" t="str" cm="1">
        <f t="array" ref="C257">IFERROR(INDEX(Table1[Category],MATCH(B257,Table1[Unique ID Matches],0)),INDEX(Table2[Category],MATCH(TRUE,ISNUMBER(SEARCH(Table2[Unique ID Contains],B257)),0)))</f>
        <v>Accounts Payable</v>
      </c>
      <c r="D257" t="str">
        <f>INDEX('13 weeks CF'!$C$9:$C$59,MATCH(C257,'13 weeks CF'!$C$9:$C$59,0))</f>
        <v>Accounts Payable</v>
      </c>
      <c r="E257" s="3">
        <v>256</v>
      </c>
      <c r="F257" s="2">
        <v>45245</v>
      </c>
      <c r="G257" s="3">
        <v>79926</v>
      </c>
      <c r="H257" s="4" t="s">
        <v>7</v>
      </c>
      <c r="I257" s="5">
        <v>-3210</v>
      </c>
      <c r="J257" s="5">
        <v>110380</v>
      </c>
    </row>
    <row r="258" spans="1:10" x14ac:dyDescent="0.3">
      <c r="A258" s="11">
        <f t="shared" ref="A258:A321" si="8">F258+7-WEEKDAY(F258+7-7)</f>
        <v>45248</v>
      </c>
      <c r="B258" t="str">
        <f t="shared" ref="B258:B321" si="9">E258&amp;H258</f>
        <v>257ELECTRONIC WITHDRAWAL PAYROLL</v>
      </c>
      <c r="C258" t="str" cm="1">
        <f t="array" ref="C258">IFERROR(INDEX(Table1[Category],MATCH(B258,Table1[Unique ID Matches],0)),INDEX(Table2[Category],MATCH(TRUE,ISNUMBER(SEARCH(Table2[Unique ID Contains],B258)),0)))</f>
        <v>Payroll</v>
      </c>
      <c r="D258" t="str">
        <f>INDEX('13 weeks CF'!$C$9:$C$59,MATCH(C258,'13 weeks CF'!$C$9:$C$59,0))</f>
        <v>Payroll</v>
      </c>
      <c r="E258" s="3">
        <v>257</v>
      </c>
      <c r="F258" s="2">
        <v>45246</v>
      </c>
      <c r="G258" s="3" t="s">
        <v>5</v>
      </c>
      <c r="H258" s="4" t="s">
        <v>13</v>
      </c>
      <c r="I258" s="5">
        <v>-3950</v>
      </c>
      <c r="J258" s="5">
        <v>106430</v>
      </c>
    </row>
    <row r="259" spans="1:10" x14ac:dyDescent="0.3">
      <c r="A259" s="11">
        <f t="shared" si="8"/>
        <v>45248</v>
      </c>
      <c r="B259" t="str">
        <f t="shared" si="9"/>
        <v>258CHECK</v>
      </c>
      <c r="C259" t="str" cm="1">
        <f t="array" ref="C259">IFERROR(INDEX(Table1[Category],MATCH(B259,Table1[Unique ID Matches],0)),INDEX(Table2[Category],MATCH(TRUE,ISNUMBER(SEARCH(Table2[Unique ID Contains],B259)),0)))</f>
        <v>Accounts Payable</v>
      </c>
      <c r="D259" t="str">
        <f>INDEX('13 weeks CF'!$C$9:$C$59,MATCH(C259,'13 weeks CF'!$C$9:$C$59,0))</f>
        <v>Accounts Payable</v>
      </c>
      <c r="E259" s="3">
        <v>258</v>
      </c>
      <c r="F259" s="2">
        <v>45246</v>
      </c>
      <c r="G259" s="3">
        <v>79930</v>
      </c>
      <c r="H259" s="4" t="s">
        <v>7</v>
      </c>
      <c r="I259" s="5">
        <v>-10700</v>
      </c>
      <c r="J259" s="5">
        <v>95730</v>
      </c>
    </row>
    <row r="260" spans="1:10" x14ac:dyDescent="0.3">
      <c r="A260" s="11">
        <f t="shared" si="8"/>
        <v>45248</v>
      </c>
      <c r="B260" t="str">
        <f t="shared" si="9"/>
        <v>259CHECK</v>
      </c>
      <c r="C260" t="str" cm="1">
        <f t="array" ref="C260">IFERROR(INDEX(Table1[Category],MATCH(B260,Table1[Unique ID Matches],0)),INDEX(Table2[Category],MATCH(TRUE,ISNUMBER(SEARCH(Table2[Unique ID Contains],B260)),0)))</f>
        <v>Payroll</v>
      </c>
      <c r="D260" t="str">
        <f>INDEX('13 weeks CF'!$C$9:$C$59,MATCH(C260,'13 weeks CF'!$C$9:$C$59,0))</f>
        <v>Payroll</v>
      </c>
      <c r="E260" s="3">
        <v>259</v>
      </c>
      <c r="F260" s="2">
        <v>45247</v>
      </c>
      <c r="G260" s="3">
        <v>79931</v>
      </c>
      <c r="H260" s="4" t="s">
        <v>7</v>
      </c>
      <c r="I260" s="5">
        <v>-1120</v>
      </c>
      <c r="J260" s="5">
        <v>94610</v>
      </c>
    </row>
    <row r="261" spans="1:10" x14ac:dyDescent="0.3">
      <c r="A261" s="11">
        <f t="shared" si="8"/>
        <v>45248</v>
      </c>
      <c r="B261" t="str">
        <f t="shared" si="9"/>
        <v>260CHECK</v>
      </c>
      <c r="C261" t="str" cm="1">
        <f t="array" ref="C261">IFERROR(INDEX(Table1[Category],MATCH(B261,Table1[Unique ID Matches],0)),INDEX(Table2[Category],MATCH(TRUE,ISNUMBER(SEARCH(Table2[Unique ID Contains],B261)),0)))</f>
        <v>Payroll</v>
      </c>
      <c r="D261" t="str">
        <f>INDEX('13 weeks CF'!$C$9:$C$59,MATCH(C261,'13 weeks CF'!$C$9:$C$59,0))</f>
        <v>Payroll</v>
      </c>
      <c r="E261" s="3">
        <v>260</v>
      </c>
      <c r="F261" s="2">
        <v>45247</v>
      </c>
      <c r="G261" s="3">
        <v>79932</v>
      </c>
      <c r="H261" s="4" t="s">
        <v>7</v>
      </c>
      <c r="I261" s="5">
        <v>-1020</v>
      </c>
      <c r="J261" s="5">
        <v>93590</v>
      </c>
    </row>
    <row r="262" spans="1:10" x14ac:dyDescent="0.3">
      <c r="A262" s="11">
        <f t="shared" si="8"/>
        <v>45248</v>
      </c>
      <c r="B262" t="str">
        <f t="shared" si="9"/>
        <v>261CHECK</v>
      </c>
      <c r="C262" t="str" cm="1">
        <f t="array" ref="C262">IFERROR(INDEX(Table1[Category],MATCH(B262,Table1[Unique ID Matches],0)),INDEX(Table2[Category],MATCH(TRUE,ISNUMBER(SEARCH(Table2[Unique ID Contains],B262)),0)))</f>
        <v>Payroll</v>
      </c>
      <c r="D262" t="str">
        <f>INDEX('13 weeks CF'!$C$9:$C$59,MATCH(C262,'13 weeks CF'!$C$9:$C$59,0))</f>
        <v>Payroll</v>
      </c>
      <c r="E262" s="3">
        <v>261</v>
      </c>
      <c r="F262" s="2">
        <v>45247</v>
      </c>
      <c r="G262" s="3">
        <v>79933</v>
      </c>
      <c r="H262" s="4" t="s">
        <v>7</v>
      </c>
      <c r="I262" s="5">
        <v>-1070</v>
      </c>
      <c r="J262" s="5">
        <v>92520</v>
      </c>
    </row>
    <row r="263" spans="1:10" x14ac:dyDescent="0.3">
      <c r="A263" s="11">
        <f t="shared" si="8"/>
        <v>45248</v>
      </c>
      <c r="B263" t="str">
        <f t="shared" si="9"/>
        <v>262CHECK</v>
      </c>
      <c r="C263" t="str" cm="1">
        <f t="array" ref="C263">IFERROR(INDEX(Table1[Category],MATCH(B263,Table1[Unique ID Matches],0)),INDEX(Table2[Category],MATCH(TRUE,ISNUMBER(SEARCH(Table2[Unique ID Contains],B263)),0)))</f>
        <v>Payroll</v>
      </c>
      <c r="D263" t="str">
        <f>INDEX('13 weeks CF'!$C$9:$C$59,MATCH(C263,'13 weeks CF'!$C$9:$C$59,0))</f>
        <v>Payroll</v>
      </c>
      <c r="E263" s="3">
        <v>262</v>
      </c>
      <c r="F263" s="2">
        <v>45247</v>
      </c>
      <c r="G263" s="3">
        <v>79935</v>
      </c>
      <c r="H263" s="4" t="s">
        <v>7</v>
      </c>
      <c r="I263" s="5">
        <v>-1210</v>
      </c>
      <c r="J263" s="5">
        <v>91310</v>
      </c>
    </row>
    <row r="264" spans="1:10" x14ac:dyDescent="0.3">
      <c r="A264" s="11">
        <f t="shared" si="8"/>
        <v>45248</v>
      </c>
      <c r="B264" t="str">
        <f t="shared" si="9"/>
        <v>263CHECK</v>
      </c>
      <c r="C264" t="str" cm="1">
        <f t="array" ref="C264">IFERROR(INDEX(Table1[Category],MATCH(B264,Table1[Unique ID Matches],0)),INDEX(Table2[Category],MATCH(TRUE,ISNUMBER(SEARCH(Table2[Unique ID Contains],B264)),0)))</f>
        <v>Payroll</v>
      </c>
      <c r="D264" t="str">
        <f>INDEX('13 weeks CF'!$C$9:$C$59,MATCH(C264,'13 weeks CF'!$C$9:$C$59,0))</f>
        <v>Payroll</v>
      </c>
      <c r="E264" s="3">
        <v>263</v>
      </c>
      <c r="F264" s="2">
        <v>45247</v>
      </c>
      <c r="G264" s="3">
        <v>79936</v>
      </c>
      <c r="H264" s="4" t="s">
        <v>7</v>
      </c>
      <c r="I264" s="5">
        <v>-970</v>
      </c>
      <c r="J264" s="5">
        <v>90340</v>
      </c>
    </row>
    <row r="265" spans="1:10" x14ac:dyDescent="0.3">
      <c r="A265" s="11">
        <f t="shared" si="8"/>
        <v>45248</v>
      </c>
      <c r="B265" t="str">
        <f t="shared" si="9"/>
        <v>264CHECK</v>
      </c>
      <c r="C265" t="str" cm="1">
        <f t="array" ref="C265">IFERROR(INDEX(Table1[Category],MATCH(B265,Table1[Unique ID Matches],0)),INDEX(Table2[Category],MATCH(TRUE,ISNUMBER(SEARCH(Table2[Unique ID Contains],B265)),0)))</f>
        <v>Payroll</v>
      </c>
      <c r="D265" t="str">
        <f>INDEX('13 weeks CF'!$C$9:$C$59,MATCH(C265,'13 weeks CF'!$C$9:$C$59,0))</f>
        <v>Payroll</v>
      </c>
      <c r="E265" s="3">
        <v>264</v>
      </c>
      <c r="F265" s="2">
        <v>45247</v>
      </c>
      <c r="G265" s="3">
        <v>79937</v>
      </c>
      <c r="H265" s="4" t="s">
        <v>7</v>
      </c>
      <c r="I265" s="5">
        <v>-1170</v>
      </c>
      <c r="J265" s="5">
        <v>89170</v>
      </c>
    </row>
    <row r="266" spans="1:10" x14ac:dyDescent="0.3">
      <c r="A266" s="11">
        <f t="shared" si="8"/>
        <v>45248</v>
      </c>
      <c r="B266" t="str">
        <f t="shared" si="9"/>
        <v>265CHECK</v>
      </c>
      <c r="C266" t="str" cm="1">
        <f t="array" ref="C266">IFERROR(INDEX(Table1[Category],MATCH(B266,Table1[Unique ID Matches],0)),INDEX(Table2[Category],MATCH(TRUE,ISNUMBER(SEARCH(Table2[Unique ID Contains],B266)),0)))</f>
        <v>Payroll</v>
      </c>
      <c r="D266" t="str">
        <f>INDEX('13 weeks CF'!$C$9:$C$59,MATCH(C266,'13 weeks CF'!$C$9:$C$59,0))</f>
        <v>Payroll</v>
      </c>
      <c r="E266" s="3">
        <v>265</v>
      </c>
      <c r="F266" s="2">
        <v>45247</v>
      </c>
      <c r="G266" s="3">
        <v>79940</v>
      </c>
      <c r="H266" s="4" t="s">
        <v>7</v>
      </c>
      <c r="I266" s="5">
        <v>-1180</v>
      </c>
      <c r="J266" s="5">
        <v>87990</v>
      </c>
    </row>
    <row r="267" spans="1:10" x14ac:dyDescent="0.3">
      <c r="A267" s="11">
        <f t="shared" si="8"/>
        <v>45248</v>
      </c>
      <c r="B267" t="str">
        <f t="shared" si="9"/>
        <v>266CHECK</v>
      </c>
      <c r="C267" t="str" cm="1">
        <f t="array" ref="C267">IFERROR(INDEX(Table1[Category],MATCH(B267,Table1[Unique ID Matches],0)),INDEX(Table2[Category],MATCH(TRUE,ISNUMBER(SEARCH(Table2[Unique ID Contains],B267)),0)))</f>
        <v>Payroll</v>
      </c>
      <c r="D267" t="str">
        <f>INDEX('13 weeks CF'!$C$9:$C$59,MATCH(C267,'13 weeks CF'!$C$9:$C$59,0))</f>
        <v>Payroll</v>
      </c>
      <c r="E267" s="3">
        <v>266</v>
      </c>
      <c r="F267" s="2">
        <v>45247</v>
      </c>
      <c r="G267" s="3">
        <v>79941</v>
      </c>
      <c r="H267" s="4" t="s">
        <v>7</v>
      </c>
      <c r="I267" s="5">
        <v>-1030</v>
      </c>
      <c r="J267" s="5">
        <v>86960</v>
      </c>
    </row>
    <row r="268" spans="1:10" x14ac:dyDescent="0.3">
      <c r="A268" s="11">
        <f t="shared" si="8"/>
        <v>45248</v>
      </c>
      <c r="B268" t="str">
        <f t="shared" si="9"/>
        <v>267CHECK</v>
      </c>
      <c r="C268" t="str" cm="1">
        <f t="array" ref="C268">IFERROR(INDEX(Table1[Category],MATCH(B268,Table1[Unique ID Matches],0)),INDEX(Table2[Category],MATCH(TRUE,ISNUMBER(SEARCH(Table2[Unique ID Contains],B268)),0)))</f>
        <v>Payroll</v>
      </c>
      <c r="D268" t="str">
        <f>INDEX('13 weeks CF'!$C$9:$C$59,MATCH(C268,'13 weeks CF'!$C$9:$C$59,0))</f>
        <v>Payroll</v>
      </c>
      <c r="E268" s="3">
        <v>267</v>
      </c>
      <c r="F268" s="2">
        <v>45247</v>
      </c>
      <c r="G268" s="3">
        <v>79942</v>
      </c>
      <c r="H268" s="4" t="s">
        <v>7</v>
      </c>
      <c r="I268" s="5">
        <v>-1190</v>
      </c>
      <c r="J268" s="5">
        <v>85770</v>
      </c>
    </row>
    <row r="269" spans="1:10" x14ac:dyDescent="0.3">
      <c r="A269" s="11">
        <f t="shared" si="8"/>
        <v>45248</v>
      </c>
      <c r="B269" t="str">
        <f t="shared" si="9"/>
        <v>268CHECK</v>
      </c>
      <c r="C269" t="str" cm="1">
        <f t="array" ref="C269">IFERROR(INDEX(Table1[Category],MATCH(B269,Table1[Unique ID Matches],0)),INDEX(Table2[Category],MATCH(TRUE,ISNUMBER(SEARCH(Table2[Unique ID Contains],B269)),0)))</f>
        <v>Payroll</v>
      </c>
      <c r="D269" t="str">
        <f>INDEX('13 weeks CF'!$C$9:$C$59,MATCH(C269,'13 weeks CF'!$C$9:$C$59,0))</f>
        <v>Payroll</v>
      </c>
      <c r="E269" s="3">
        <v>268</v>
      </c>
      <c r="F269" s="2">
        <v>45247</v>
      </c>
      <c r="G269" s="3">
        <v>79943</v>
      </c>
      <c r="H269" s="4" t="s">
        <v>7</v>
      </c>
      <c r="I269" s="5">
        <v>-1170</v>
      </c>
      <c r="J269" s="5">
        <v>84600</v>
      </c>
    </row>
    <row r="270" spans="1:10" x14ac:dyDescent="0.3">
      <c r="A270" s="11">
        <f t="shared" si="8"/>
        <v>45248</v>
      </c>
      <c r="B270" t="str">
        <f t="shared" si="9"/>
        <v>269CHECK</v>
      </c>
      <c r="C270" t="str" cm="1">
        <f t="array" ref="C270">IFERROR(INDEX(Table1[Category],MATCH(B270,Table1[Unique ID Matches],0)),INDEX(Table2[Category],MATCH(TRUE,ISNUMBER(SEARCH(Table2[Unique ID Contains],B270)),0)))</f>
        <v>Payroll</v>
      </c>
      <c r="D270" t="str">
        <f>INDEX('13 weeks CF'!$C$9:$C$59,MATCH(C270,'13 weeks CF'!$C$9:$C$59,0))</f>
        <v>Payroll</v>
      </c>
      <c r="E270" s="3">
        <v>269</v>
      </c>
      <c r="F270" s="2">
        <v>45247</v>
      </c>
      <c r="G270" s="3">
        <v>79944</v>
      </c>
      <c r="H270" s="4" t="s">
        <v>7</v>
      </c>
      <c r="I270" s="5">
        <v>-1460</v>
      </c>
      <c r="J270" s="5">
        <v>83140</v>
      </c>
    </row>
    <row r="271" spans="1:10" x14ac:dyDescent="0.3">
      <c r="A271" s="11">
        <f t="shared" si="8"/>
        <v>45248</v>
      </c>
      <c r="B271" t="str">
        <f t="shared" si="9"/>
        <v>270CHECK</v>
      </c>
      <c r="C271" t="str" cm="1">
        <f t="array" ref="C271">IFERROR(INDEX(Table1[Category],MATCH(B271,Table1[Unique ID Matches],0)),INDEX(Table2[Category],MATCH(TRUE,ISNUMBER(SEARCH(Table2[Unique ID Contains],B271)),0)))</f>
        <v>Payroll</v>
      </c>
      <c r="D271" t="str">
        <f>INDEX('13 weeks CF'!$C$9:$C$59,MATCH(C271,'13 weeks CF'!$C$9:$C$59,0))</f>
        <v>Payroll</v>
      </c>
      <c r="E271" s="3">
        <v>270</v>
      </c>
      <c r="F271" s="2">
        <v>45247</v>
      </c>
      <c r="G271" s="3">
        <v>79947</v>
      </c>
      <c r="H271" s="4" t="s">
        <v>7</v>
      </c>
      <c r="I271" s="5">
        <v>-1370</v>
      </c>
      <c r="J271" s="5">
        <v>81770</v>
      </c>
    </row>
    <row r="272" spans="1:10" x14ac:dyDescent="0.3">
      <c r="A272" s="11">
        <f t="shared" si="8"/>
        <v>45248</v>
      </c>
      <c r="B272" t="str">
        <f t="shared" si="9"/>
        <v>271CHECK</v>
      </c>
      <c r="C272" t="str" cm="1">
        <f t="array" ref="C272">IFERROR(INDEX(Table1[Category],MATCH(B272,Table1[Unique ID Matches],0)),INDEX(Table2[Category],MATCH(TRUE,ISNUMBER(SEARCH(Table2[Unique ID Contains],B272)),0)))</f>
        <v>Payroll</v>
      </c>
      <c r="D272" t="str">
        <f>INDEX('13 weeks CF'!$C$9:$C$59,MATCH(C272,'13 weeks CF'!$C$9:$C$59,0))</f>
        <v>Payroll</v>
      </c>
      <c r="E272" s="3">
        <v>271</v>
      </c>
      <c r="F272" s="2">
        <v>45247</v>
      </c>
      <c r="G272" s="3">
        <v>79949</v>
      </c>
      <c r="H272" s="4" t="s">
        <v>7</v>
      </c>
      <c r="I272" s="5">
        <v>-970</v>
      </c>
      <c r="J272" s="5">
        <v>80800</v>
      </c>
    </row>
    <row r="273" spans="1:10" x14ac:dyDescent="0.3">
      <c r="A273" s="11">
        <f t="shared" si="8"/>
        <v>45248</v>
      </c>
      <c r="B273" t="str">
        <f t="shared" si="9"/>
        <v>272CHECK</v>
      </c>
      <c r="C273" t="str" cm="1">
        <f t="array" ref="C273">IFERROR(INDEX(Table1[Category],MATCH(B273,Table1[Unique ID Matches],0)),INDEX(Table2[Category],MATCH(TRUE,ISNUMBER(SEARCH(Table2[Unique ID Contains],B273)),0)))</f>
        <v>Payroll</v>
      </c>
      <c r="D273" t="str">
        <f>INDEX('13 weeks CF'!$C$9:$C$59,MATCH(C273,'13 weeks CF'!$C$9:$C$59,0))</f>
        <v>Payroll</v>
      </c>
      <c r="E273" s="3">
        <v>272</v>
      </c>
      <c r="F273" s="2">
        <v>45247</v>
      </c>
      <c r="G273" s="3">
        <v>79950</v>
      </c>
      <c r="H273" s="4" t="s">
        <v>7</v>
      </c>
      <c r="I273" s="5">
        <v>-970</v>
      </c>
      <c r="J273" s="5">
        <v>79830</v>
      </c>
    </row>
    <row r="274" spans="1:10" x14ac:dyDescent="0.3">
      <c r="A274" s="11">
        <f t="shared" si="8"/>
        <v>45248</v>
      </c>
      <c r="B274" t="str">
        <f t="shared" si="9"/>
        <v>273CHECK</v>
      </c>
      <c r="C274" t="str" cm="1">
        <f t="array" ref="C274">IFERROR(INDEX(Table1[Category],MATCH(B274,Table1[Unique ID Matches],0)),INDEX(Table2[Category],MATCH(TRUE,ISNUMBER(SEARCH(Table2[Unique ID Contains],B274)),0)))</f>
        <v>Payroll</v>
      </c>
      <c r="D274" t="str">
        <f>INDEX('13 weeks CF'!$C$9:$C$59,MATCH(C274,'13 weeks CF'!$C$9:$C$59,0))</f>
        <v>Payroll</v>
      </c>
      <c r="E274" s="3">
        <v>273</v>
      </c>
      <c r="F274" s="2">
        <v>45247</v>
      </c>
      <c r="G274" s="3">
        <v>79951</v>
      </c>
      <c r="H274" s="4" t="s">
        <v>7</v>
      </c>
      <c r="I274" s="5">
        <v>-970</v>
      </c>
      <c r="J274" s="5">
        <v>78860</v>
      </c>
    </row>
    <row r="275" spans="1:10" x14ac:dyDescent="0.3">
      <c r="A275" s="11">
        <f t="shared" si="8"/>
        <v>45248</v>
      </c>
      <c r="B275" t="str">
        <f t="shared" si="9"/>
        <v>274CHECK</v>
      </c>
      <c r="C275" t="str" cm="1">
        <f t="array" ref="C275">IFERROR(INDEX(Table1[Category],MATCH(B275,Table1[Unique ID Matches],0)),INDEX(Table2[Category],MATCH(TRUE,ISNUMBER(SEARCH(Table2[Unique ID Contains],B275)),0)))</f>
        <v>Payroll</v>
      </c>
      <c r="D275" t="str">
        <f>INDEX('13 weeks CF'!$C$9:$C$59,MATCH(C275,'13 weeks CF'!$C$9:$C$59,0))</f>
        <v>Payroll</v>
      </c>
      <c r="E275" s="3">
        <v>274</v>
      </c>
      <c r="F275" s="2">
        <v>45247</v>
      </c>
      <c r="G275" s="3">
        <v>79952</v>
      </c>
      <c r="H275" s="4" t="s">
        <v>7</v>
      </c>
      <c r="I275" s="5">
        <v>-1220</v>
      </c>
      <c r="J275" s="5">
        <v>77640</v>
      </c>
    </row>
    <row r="276" spans="1:10" x14ac:dyDescent="0.3">
      <c r="A276" s="11">
        <f t="shared" si="8"/>
        <v>45248</v>
      </c>
      <c r="B276" t="str">
        <f t="shared" si="9"/>
        <v>275CHECK</v>
      </c>
      <c r="C276" t="str" cm="1">
        <f t="array" ref="C276">IFERROR(INDEX(Table1[Category],MATCH(B276,Table1[Unique ID Matches],0)),INDEX(Table2[Category],MATCH(TRUE,ISNUMBER(SEARCH(Table2[Unique ID Contains],B276)),0)))</f>
        <v>Payroll</v>
      </c>
      <c r="D276" t="str">
        <f>INDEX('13 weeks CF'!$C$9:$C$59,MATCH(C276,'13 weeks CF'!$C$9:$C$59,0))</f>
        <v>Payroll</v>
      </c>
      <c r="E276" s="3">
        <v>275</v>
      </c>
      <c r="F276" s="2">
        <v>45247</v>
      </c>
      <c r="G276" s="3">
        <v>79953</v>
      </c>
      <c r="H276" s="4" t="s">
        <v>7</v>
      </c>
      <c r="I276" s="5">
        <v>-1580</v>
      </c>
      <c r="J276" s="5">
        <v>76060</v>
      </c>
    </row>
    <row r="277" spans="1:10" x14ac:dyDescent="0.3">
      <c r="A277" s="11">
        <f t="shared" si="8"/>
        <v>45248</v>
      </c>
      <c r="B277" t="str">
        <f t="shared" si="9"/>
        <v>276CHECK</v>
      </c>
      <c r="C277" t="str" cm="1">
        <f t="array" ref="C277">IFERROR(INDEX(Table1[Category],MATCH(B277,Table1[Unique ID Matches],0)),INDEX(Table2[Category],MATCH(TRUE,ISNUMBER(SEARCH(Table2[Unique ID Contains],B277)),0)))</f>
        <v>Payroll</v>
      </c>
      <c r="D277" t="str">
        <f>INDEX('13 weeks CF'!$C$9:$C$59,MATCH(C277,'13 weeks CF'!$C$9:$C$59,0))</f>
        <v>Payroll</v>
      </c>
      <c r="E277" s="3">
        <v>276</v>
      </c>
      <c r="F277" s="2">
        <v>45247</v>
      </c>
      <c r="G277" s="3">
        <v>79954</v>
      </c>
      <c r="H277" s="4" t="s">
        <v>7</v>
      </c>
      <c r="I277" s="5">
        <v>-1080</v>
      </c>
      <c r="J277" s="5">
        <v>74980</v>
      </c>
    </row>
    <row r="278" spans="1:10" x14ac:dyDescent="0.3">
      <c r="A278" s="11">
        <f t="shared" si="8"/>
        <v>45248</v>
      </c>
      <c r="B278" t="str">
        <f t="shared" si="9"/>
        <v>277CHECK</v>
      </c>
      <c r="C278" t="str" cm="1">
        <f t="array" ref="C278">IFERROR(INDEX(Table1[Category],MATCH(B278,Table1[Unique ID Matches],0)),INDEX(Table2[Category],MATCH(TRUE,ISNUMBER(SEARCH(Table2[Unique ID Contains],B278)),0)))</f>
        <v>Payroll</v>
      </c>
      <c r="D278" t="str">
        <f>INDEX('13 weeks CF'!$C$9:$C$59,MATCH(C278,'13 weeks CF'!$C$9:$C$59,0))</f>
        <v>Payroll</v>
      </c>
      <c r="E278" s="3">
        <v>277</v>
      </c>
      <c r="F278" s="2">
        <v>45247</v>
      </c>
      <c r="G278" s="3">
        <v>79955</v>
      </c>
      <c r="H278" s="4" t="s">
        <v>7</v>
      </c>
      <c r="I278" s="5">
        <v>-1120</v>
      </c>
      <c r="J278" s="5">
        <v>73860</v>
      </c>
    </row>
    <row r="279" spans="1:10" x14ac:dyDescent="0.3">
      <c r="A279" s="11">
        <f t="shared" si="8"/>
        <v>45248</v>
      </c>
      <c r="B279" t="str">
        <f t="shared" si="9"/>
        <v>278CHECK</v>
      </c>
      <c r="C279" t="str" cm="1">
        <f t="array" ref="C279">IFERROR(INDEX(Table1[Category],MATCH(B279,Table1[Unique ID Matches],0)),INDEX(Table2[Category],MATCH(TRUE,ISNUMBER(SEARCH(Table2[Unique ID Contains],B279)),0)))</f>
        <v>Payroll</v>
      </c>
      <c r="D279" t="str">
        <f>INDEX('13 weeks CF'!$C$9:$C$59,MATCH(C279,'13 weeks CF'!$C$9:$C$59,0))</f>
        <v>Payroll</v>
      </c>
      <c r="E279" s="3">
        <v>278</v>
      </c>
      <c r="F279" s="2">
        <v>45247</v>
      </c>
      <c r="G279" s="3">
        <v>79956</v>
      </c>
      <c r="H279" s="4" t="s">
        <v>7</v>
      </c>
      <c r="I279" s="5">
        <v>-980</v>
      </c>
      <c r="J279" s="5">
        <v>72880</v>
      </c>
    </row>
    <row r="280" spans="1:10" x14ac:dyDescent="0.3">
      <c r="A280" s="11">
        <f t="shared" si="8"/>
        <v>45248</v>
      </c>
      <c r="B280" t="str">
        <f t="shared" si="9"/>
        <v>279CHECK</v>
      </c>
      <c r="C280" t="str" cm="1">
        <f t="array" ref="C280">IFERROR(INDEX(Table1[Category],MATCH(B280,Table1[Unique ID Matches],0)),INDEX(Table2[Category],MATCH(TRUE,ISNUMBER(SEARCH(Table2[Unique ID Contains],B280)),0)))</f>
        <v>Payroll</v>
      </c>
      <c r="D280" t="str">
        <f>INDEX('13 weeks CF'!$C$9:$C$59,MATCH(C280,'13 weeks CF'!$C$9:$C$59,0))</f>
        <v>Payroll</v>
      </c>
      <c r="E280" s="3">
        <v>279</v>
      </c>
      <c r="F280" s="2">
        <v>45247</v>
      </c>
      <c r="G280" s="3">
        <v>79957</v>
      </c>
      <c r="H280" s="4" t="s">
        <v>7</v>
      </c>
      <c r="I280" s="5">
        <v>-1180</v>
      </c>
      <c r="J280" s="5">
        <v>71700</v>
      </c>
    </row>
    <row r="281" spans="1:10" x14ac:dyDescent="0.3">
      <c r="A281" s="11">
        <f t="shared" si="8"/>
        <v>45248</v>
      </c>
      <c r="B281" t="str">
        <f t="shared" si="9"/>
        <v>280CHECK</v>
      </c>
      <c r="C281" t="str" cm="1">
        <f t="array" ref="C281">IFERROR(INDEX(Table1[Category],MATCH(B281,Table1[Unique ID Matches],0)),INDEX(Table2[Category],MATCH(TRUE,ISNUMBER(SEARCH(Table2[Unique ID Contains],B281)),0)))</f>
        <v>Payroll</v>
      </c>
      <c r="D281" t="str">
        <f>INDEX('13 weeks CF'!$C$9:$C$59,MATCH(C281,'13 weeks CF'!$C$9:$C$59,0))</f>
        <v>Payroll</v>
      </c>
      <c r="E281" s="3">
        <v>280</v>
      </c>
      <c r="F281" s="2">
        <v>45247</v>
      </c>
      <c r="G281" s="3">
        <v>79958</v>
      </c>
      <c r="H281" s="4" t="s">
        <v>7</v>
      </c>
      <c r="I281" s="5">
        <v>-1260</v>
      </c>
      <c r="J281" s="5">
        <v>70440</v>
      </c>
    </row>
    <row r="282" spans="1:10" x14ac:dyDescent="0.3">
      <c r="A282" s="11">
        <f t="shared" si="8"/>
        <v>45248</v>
      </c>
      <c r="B282" t="str">
        <f t="shared" si="9"/>
        <v>281CHECK</v>
      </c>
      <c r="C282" t="str" cm="1">
        <f t="array" ref="C282">IFERROR(INDEX(Table1[Category],MATCH(B282,Table1[Unique ID Matches],0)),INDEX(Table2[Category],MATCH(TRUE,ISNUMBER(SEARCH(Table2[Unique ID Contains],B282)),0)))</f>
        <v>Payroll</v>
      </c>
      <c r="D282" t="str">
        <f>INDEX('13 weeks CF'!$C$9:$C$59,MATCH(C282,'13 weeks CF'!$C$9:$C$59,0))</f>
        <v>Payroll</v>
      </c>
      <c r="E282" s="3">
        <v>281</v>
      </c>
      <c r="F282" s="2">
        <v>45247</v>
      </c>
      <c r="G282" s="3">
        <v>79959</v>
      </c>
      <c r="H282" s="4" t="s">
        <v>7</v>
      </c>
      <c r="I282" s="5">
        <v>-1160</v>
      </c>
      <c r="J282" s="5">
        <v>69280</v>
      </c>
    </row>
    <row r="283" spans="1:10" x14ac:dyDescent="0.3">
      <c r="A283" s="11">
        <f t="shared" si="8"/>
        <v>45248</v>
      </c>
      <c r="B283" t="str">
        <f t="shared" si="9"/>
        <v>282CHECK</v>
      </c>
      <c r="C283" t="str" cm="1">
        <f t="array" ref="C283">IFERROR(INDEX(Table1[Category],MATCH(B283,Table1[Unique ID Matches],0)),INDEX(Table2[Category],MATCH(TRUE,ISNUMBER(SEARCH(Table2[Unique ID Contains],B283)),0)))</f>
        <v>Payroll</v>
      </c>
      <c r="D283" t="str">
        <f>INDEX('13 weeks CF'!$C$9:$C$59,MATCH(C283,'13 weeks CF'!$C$9:$C$59,0))</f>
        <v>Payroll</v>
      </c>
      <c r="E283" s="3">
        <v>282</v>
      </c>
      <c r="F283" s="2">
        <v>45247</v>
      </c>
      <c r="G283" s="3">
        <v>79960</v>
      </c>
      <c r="H283" s="4" t="s">
        <v>7</v>
      </c>
      <c r="I283" s="5">
        <v>-1060</v>
      </c>
      <c r="J283" s="5">
        <v>68220</v>
      </c>
    </row>
    <row r="284" spans="1:10" x14ac:dyDescent="0.3">
      <c r="A284" s="11">
        <f t="shared" si="8"/>
        <v>45248</v>
      </c>
      <c r="B284" t="str">
        <f t="shared" si="9"/>
        <v>283CHECK</v>
      </c>
      <c r="C284" t="str" cm="1">
        <f t="array" ref="C284">IFERROR(INDEX(Table1[Category],MATCH(B284,Table1[Unique ID Matches],0)),INDEX(Table2[Category],MATCH(TRUE,ISNUMBER(SEARCH(Table2[Unique ID Contains],B284)),0)))</f>
        <v>Payroll</v>
      </c>
      <c r="D284" t="str">
        <f>INDEX('13 weeks CF'!$C$9:$C$59,MATCH(C284,'13 weeks CF'!$C$9:$C$59,0))</f>
        <v>Payroll</v>
      </c>
      <c r="E284" s="3">
        <v>283</v>
      </c>
      <c r="F284" s="2">
        <v>45247</v>
      </c>
      <c r="G284" s="3">
        <v>79961</v>
      </c>
      <c r="H284" s="4" t="s">
        <v>7</v>
      </c>
      <c r="I284" s="5">
        <v>-1360</v>
      </c>
      <c r="J284" s="5">
        <v>66860</v>
      </c>
    </row>
    <row r="285" spans="1:10" x14ac:dyDescent="0.3">
      <c r="A285" s="11">
        <f t="shared" si="8"/>
        <v>45248</v>
      </c>
      <c r="B285" t="str">
        <f t="shared" si="9"/>
        <v>284CHECK</v>
      </c>
      <c r="C285" t="str" cm="1">
        <f t="array" ref="C285">IFERROR(INDEX(Table1[Category],MATCH(B285,Table1[Unique ID Matches],0)),INDEX(Table2[Category],MATCH(TRUE,ISNUMBER(SEARCH(Table2[Unique ID Contains],B285)),0)))</f>
        <v>Payroll</v>
      </c>
      <c r="D285" t="str">
        <f>INDEX('13 weeks CF'!$C$9:$C$59,MATCH(C285,'13 weeks CF'!$C$9:$C$59,0))</f>
        <v>Payroll</v>
      </c>
      <c r="E285" s="3">
        <v>284</v>
      </c>
      <c r="F285" s="2">
        <v>45247</v>
      </c>
      <c r="G285" s="3">
        <v>79962</v>
      </c>
      <c r="H285" s="4" t="s">
        <v>7</v>
      </c>
      <c r="I285" s="5">
        <v>-1500</v>
      </c>
      <c r="J285" s="5">
        <v>65360</v>
      </c>
    </row>
    <row r="286" spans="1:10" x14ac:dyDescent="0.3">
      <c r="A286" s="11">
        <f t="shared" si="8"/>
        <v>45248</v>
      </c>
      <c r="B286" t="str">
        <f t="shared" si="9"/>
        <v>285CHECK</v>
      </c>
      <c r="C286" t="str" cm="1">
        <f t="array" ref="C286">IFERROR(INDEX(Table1[Category],MATCH(B286,Table1[Unique ID Matches],0)),INDEX(Table2[Category],MATCH(TRUE,ISNUMBER(SEARCH(Table2[Unique ID Contains],B286)),0)))</f>
        <v>Accounts Payable</v>
      </c>
      <c r="D286" t="str">
        <f>INDEX('13 weeks CF'!$C$9:$C$59,MATCH(C286,'13 weeks CF'!$C$9:$C$59,0))</f>
        <v>Accounts Payable</v>
      </c>
      <c r="E286" s="3">
        <v>285</v>
      </c>
      <c r="F286" s="2">
        <v>45247</v>
      </c>
      <c r="G286" s="3">
        <v>79964</v>
      </c>
      <c r="H286" s="4" t="s">
        <v>7</v>
      </c>
      <c r="I286" s="5">
        <v>-22000</v>
      </c>
      <c r="J286" s="5">
        <v>43360</v>
      </c>
    </row>
    <row r="287" spans="1:10" x14ac:dyDescent="0.3">
      <c r="A287" s="11">
        <f t="shared" si="8"/>
        <v>45255</v>
      </c>
      <c r="B287" t="str">
        <f t="shared" si="9"/>
        <v>286DEPOSIT</v>
      </c>
      <c r="C287" t="str" cm="1">
        <f t="array" ref="C287">IFERROR(INDEX(Table1[Category],MATCH(B287,Table1[Unique ID Matches],0)),INDEX(Table2[Category],MATCH(TRUE,ISNUMBER(SEARCH(Table2[Unique ID Contains],B287)),0)))</f>
        <v>Invoiced AR + New Revenue</v>
      </c>
      <c r="D287" t="str">
        <f>INDEX('13 weeks CF'!$C$9:$C$59,MATCH(C287,'13 weeks CF'!$C$9:$C$59,0))</f>
        <v>Invoiced AR + New Revenue</v>
      </c>
      <c r="E287" s="3">
        <v>286</v>
      </c>
      <c r="F287" s="2">
        <v>45250</v>
      </c>
      <c r="G287" s="3" t="s">
        <v>8</v>
      </c>
      <c r="H287" s="4" t="s">
        <v>9</v>
      </c>
      <c r="I287" s="5">
        <v>355120</v>
      </c>
      <c r="J287" s="5">
        <v>398480</v>
      </c>
    </row>
    <row r="288" spans="1:10" x14ac:dyDescent="0.3">
      <c r="A288" s="11">
        <f t="shared" si="8"/>
        <v>45255</v>
      </c>
      <c r="B288" t="str">
        <f t="shared" si="9"/>
        <v>287WEB AUTHORIZED PMT KRYPTONIX</v>
      </c>
      <c r="C288" t="str" cm="1">
        <f t="array" ref="C288">IFERROR(INDEX(Table1[Category],MATCH(B288,Table1[Unique ID Matches],0)),INDEX(Table2[Category],MATCH(TRUE,ISNUMBER(SEARCH(Table2[Unique ID Contains],B288)),0)))</f>
        <v>Dues &amp; Subscriptions</v>
      </c>
      <c r="D288" t="str">
        <f>INDEX('13 weeks CF'!$C$9:$C$59,MATCH(C288,'13 weeks CF'!$C$9:$C$59,0))</f>
        <v>Dues &amp; Subscriptions</v>
      </c>
      <c r="E288" s="3">
        <v>287</v>
      </c>
      <c r="F288" s="2">
        <v>45250</v>
      </c>
      <c r="G288" s="3" t="s">
        <v>5</v>
      </c>
      <c r="H288" s="4" t="s">
        <v>6</v>
      </c>
      <c r="I288" s="5">
        <v>-80</v>
      </c>
      <c r="J288" s="5">
        <v>398400</v>
      </c>
    </row>
    <row r="289" spans="1:10" x14ac:dyDescent="0.3">
      <c r="A289" s="11">
        <f t="shared" si="8"/>
        <v>45255</v>
      </c>
      <c r="B289" t="str">
        <f t="shared" si="9"/>
        <v>288WEB AUTHORIZED PMT KRYPTONIX</v>
      </c>
      <c r="C289" t="str" cm="1">
        <f t="array" ref="C289">IFERROR(INDEX(Table1[Category],MATCH(B289,Table1[Unique ID Matches],0)),INDEX(Table2[Category],MATCH(TRUE,ISNUMBER(SEARCH(Table2[Unique ID Contains],B289)),0)))</f>
        <v>Dues &amp; Subscriptions</v>
      </c>
      <c r="D289" t="str">
        <f>INDEX('13 weeks CF'!$C$9:$C$59,MATCH(C289,'13 weeks CF'!$C$9:$C$59,0))</f>
        <v>Dues &amp; Subscriptions</v>
      </c>
      <c r="E289" s="3">
        <v>288</v>
      </c>
      <c r="F289" s="2">
        <v>45250</v>
      </c>
      <c r="G289" s="3" t="s">
        <v>5</v>
      </c>
      <c r="H289" s="4" t="s">
        <v>6</v>
      </c>
      <c r="I289" s="5">
        <v>-230</v>
      </c>
      <c r="J289" s="5">
        <v>398170</v>
      </c>
    </row>
    <row r="290" spans="1:10" x14ac:dyDescent="0.3">
      <c r="A290" s="11">
        <f t="shared" si="8"/>
        <v>45255</v>
      </c>
      <c r="B290" t="str">
        <f t="shared" si="9"/>
        <v>289ELECTRONIC WITHDRAWAL FRACTALIX</v>
      </c>
      <c r="C290" t="str" cm="1">
        <f t="array" ref="C290">IFERROR(INDEX(Table1[Category],MATCH(B290,Table1[Unique ID Matches],0)),INDEX(Table2[Category],MATCH(TRUE,ISNUMBER(SEARCH(Table2[Unique ID Contains],B290)),0)))</f>
        <v>Lease Payments</v>
      </c>
      <c r="D290" t="str">
        <f>INDEX('13 weeks CF'!$C$9:$C$59,MATCH(C290,'13 weeks CF'!$C$9:$C$59,0))</f>
        <v>Lease Payments</v>
      </c>
      <c r="E290" s="3">
        <v>289</v>
      </c>
      <c r="F290" s="2">
        <v>45250</v>
      </c>
      <c r="G290" s="3" t="s">
        <v>5</v>
      </c>
      <c r="H290" s="4" t="s">
        <v>14</v>
      </c>
      <c r="I290" s="5">
        <v>-1350</v>
      </c>
      <c r="J290" s="5">
        <v>396820</v>
      </c>
    </row>
    <row r="291" spans="1:10" x14ac:dyDescent="0.3">
      <c r="A291" s="11">
        <f t="shared" si="8"/>
        <v>45255</v>
      </c>
      <c r="B291" t="str">
        <f t="shared" si="9"/>
        <v>290CHECK</v>
      </c>
      <c r="C291" t="str" cm="1">
        <f t="array" ref="C291">IFERROR(INDEX(Table1[Category],MATCH(B291,Table1[Unique ID Matches],0)),INDEX(Table2[Category],MATCH(TRUE,ISNUMBER(SEARCH(Table2[Unique ID Contains],B291)),0)))</f>
        <v>Accounts Payable</v>
      </c>
      <c r="D291" t="str">
        <f>INDEX('13 weeks CF'!$C$9:$C$59,MATCH(C291,'13 weeks CF'!$C$9:$C$59,0))</f>
        <v>Accounts Payable</v>
      </c>
      <c r="E291" s="3">
        <v>290</v>
      </c>
      <c r="F291" s="2">
        <v>45250</v>
      </c>
      <c r="G291" s="3">
        <v>79927</v>
      </c>
      <c r="H291" s="4" t="s">
        <v>7</v>
      </c>
      <c r="I291" s="5">
        <v>-8500</v>
      </c>
      <c r="J291" s="5">
        <v>388320</v>
      </c>
    </row>
    <row r="292" spans="1:10" x14ac:dyDescent="0.3">
      <c r="A292" s="11">
        <f t="shared" si="8"/>
        <v>45255</v>
      </c>
      <c r="B292" t="str">
        <f t="shared" si="9"/>
        <v>291CHECK</v>
      </c>
      <c r="C292" t="str" cm="1">
        <f t="array" ref="C292">IFERROR(INDEX(Table1[Category],MATCH(B292,Table1[Unique ID Matches],0)),INDEX(Table2[Category],MATCH(TRUE,ISNUMBER(SEARCH(Table2[Unique ID Contains],B292)),0)))</f>
        <v>Accounts Payable</v>
      </c>
      <c r="D292" t="str">
        <f>INDEX('13 weeks CF'!$C$9:$C$59,MATCH(C292,'13 weeks CF'!$C$9:$C$59,0))</f>
        <v>Accounts Payable</v>
      </c>
      <c r="E292" s="3">
        <v>291</v>
      </c>
      <c r="F292" s="2">
        <v>45250</v>
      </c>
      <c r="G292" s="3">
        <v>79928</v>
      </c>
      <c r="H292" s="4" t="s">
        <v>7</v>
      </c>
      <c r="I292" s="5">
        <v>-4930</v>
      </c>
      <c r="J292" s="5">
        <v>383390</v>
      </c>
    </row>
    <row r="293" spans="1:10" x14ac:dyDescent="0.3">
      <c r="A293" s="11">
        <f t="shared" si="8"/>
        <v>45255</v>
      </c>
      <c r="B293" t="str">
        <f t="shared" si="9"/>
        <v>292CHECK</v>
      </c>
      <c r="C293" t="str" cm="1">
        <f t="array" ref="C293">IFERROR(INDEX(Table1[Category],MATCH(B293,Table1[Unique ID Matches],0)),INDEX(Table2[Category],MATCH(TRUE,ISNUMBER(SEARCH(Table2[Unique ID Contains],B293)),0)))</f>
        <v>Payroll</v>
      </c>
      <c r="D293" t="str">
        <f>INDEX('13 weeks CF'!$C$9:$C$59,MATCH(C293,'13 weeks CF'!$C$9:$C$59,0))</f>
        <v>Payroll</v>
      </c>
      <c r="E293" s="3">
        <v>292</v>
      </c>
      <c r="F293" s="2">
        <v>45250</v>
      </c>
      <c r="G293" s="3">
        <v>79934</v>
      </c>
      <c r="H293" s="4" t="s">
        <v>7</v>
      </c>
      <c r="I293" s="5">
        <v>-1880</v>
      </c>
      <c r="J293" s="5">
        <v>381510</v>
      </c>
    </row>
    <row r="294" spans="1:10" x14ac:dyDescent="0.3">
      <c r="A294" s="11">
        <f t="shared" si="8"/>
        <v>45255</v>
      </c>
      <c r="B294" t="str">
        <f t="shared" si="9"/>
        <v>293CHECK</v>
      </c>
      <c r="C294" t="str" cm="1">
        <f t="array" ref="C294">IFERROR(INDEX(Table1[Category],MATCH(B294,Table1[Unique ID Matches],0)),INDEX(Table2[Category],MATCH(TRUE,ISNUMBER(SEARCH(Table2[Unique ID Contains],B294)),0)))</f>
        <v>Payroll</v>
      </c>
      <c r="D294" t="str">
        <f>INDEX('13 weeks CF'!$C$9:$C$59,MATCH(C294,'13 weeks CF'!$C$9:$C$59,0))</f>
        <v>Payroll</v>
      </c>
      <c r="E294" s="3">
        <v>293</v>
      </c>
      <c r="F294" s="2">
        <v>45250</v>
      </c>
      <c r="G294" s="3">
        <v>79939</v>
      </c>
      <c r="H294" s="4" t="s">
        <v>7</v>
      </c>
      <c r="I294" s="5">
        <v>-1020</v>
      </c>
      <c r="J294" s="5">
        <v>380490</v>
      </c>
    </row>
    <row r="295" spans="1:10" x14ac:dyDescent="0.3">
      <c r="A295" s="11">
        <f t="shared" si="8"/>
        <v>45255</v>
      </c>
      <c r="B295" t="str">
        <f t="shared" si="9"/>
        <v>294CHECK</v>
      </c>
      <c r="C295" t="str" cm="1">
        <f t="array" ref="C295">IFERROR(INDEX(Table1[Category],MATCH(B295,Table1[Unique ID Matches],0)),INDEX(Table2[Category],MATCH(TRUE,ISNUMBER(SEARCH(Table2[Unique ID Contains],B295)),0)))</f>
        <v>Payroll</v>
      </c>
      <c r="D295" t="str">
        <f>INDEX('13 weeks CF'!$C$9:$C$59,MATCH(C295,'13 weeks CF'!$C$9:$C$59,0))</f>
        <v>Payroll</v>
      </c>
      <c r="E295" s="3">
        <v>294</v>
      </c>
      <c r="F295" s="2">
        <v>45250</v>
      </c>
      <c r="G295" s="3">
        <v>79945</v>
      </c>
      <c r="H295" s="4" t="s">
        <v>7</v>
      </c>
      <c r="I295" s="5">
        <v>-1070</v>
      </c>
      <c r="J295" s="5">
        <v>379420</v>
      </c>
    </row>
    <row r="296" spans="1:10" x14ac:dyDescent="0.3">
      <c r="A296" s="11">
        <f t="shared" si="8"/>
        <v>45255</v>
      </c>
      <c r="B296" t="str">
        <f t="shared" si="9"/>
        <v>295CHECK</v>
      </c>
      <c r="C296" t="str" cm="1">
        <f t="array" ref="C296">IFERROR(INDEX(Table1[Category],MATCH(B296,Table1[Unique ID Matches],0)),INDEX(Table2[Category],MATCH(TRUE,ISNUMBER(SEARCH(Table2[Unique ID Contains],B296)),0)))</f>
        <v>Payroll</v>
      </c>
      <c r="D296" t="str">
        <f>INDEX('13 weeks CF'!$C$9:$C$59,MATCH(C296,'13 weeks CF'!$C$9:$C$59,0))</f>
        <v>Payroll</v>
      </c>
      <c r="E296" s="3">
        <v>295</v>
      </c>
      <c r="F296" s="2">
        <v>45250</v>
      </c>
      <c r="G296" s="3">
        <v>79946</v>
      </c>
      <c r="H296" s="4" t="s">
        <v>7</v>
      </c>
      <c r="I296" s="5">
        <v>-1500</v>
      </c>
      <c r="J296" s="5">
        <v>377920</v>
      </c>
    </row>
    <row r="297" spans="1:10" x14ac:dyDescent="0.3">
      <c r="A297" s="11">
        <f t="shared" si="8"/>
        <v>45255</v>
      </c>
      <c r="B297" t="str">
        <f t="shared" si="9"/>
        <v>296CHECK</v>
      </c>
      <c r="C297" t="str" cm="1">
        <f t="array" ref="C297">IFERROR(INDEX(Table1[Category],MATCH(B297,Table1[Unique ID Matches],0)),INDEX(Table2[Category],MATCH(TRUE,ISNUMBER(SEARCH(Table2[Unique ID Contains],B297)),0)))</f>
        <v>Payroll</v>
      </c>
      <c r="D297" t="str">
        <f>INDEX('13 weeks CF'!$C$9:$C$59,MATCH(C297,'13 weeks CF'!$C$9:$C$59,0))</f>
        <v>Payroll</v>
      </c>
      <c r="E297" s="3">
        <v>296</v>
      </c>
      <c r="F297" s="2">
        <v>45250</v>
      </c>
      <c r="G297" s="3">
        <v>79967</v>
      </c>
      <c r="H297" s="4" t="s">
        <v>7</v>
      </c>
      <c r="I297" s="5">
        <v>-890</v>
      </c>
      <c r="J297" s="5">
        <v>377030</v>
      </c>
    </row>
    <row r="298" spans="1:10" x14ac:dyDescent="0.3">
      <c r="A298" s="11">
        <f t="shared" si="8"/>
        <v>45255</v>
      </c>
      <c r="B298" t="str">
        <f t="shared" si="9"/>
        <v>297CHECK</v>
      </c>
      <c r="C298" t="str" cm="1">
        <f t="array" ref="C298">IFERROR(INDEX(Table1[Category],MATCH(B298,Table1[Unique ID Matches],0)),INDEX(Table2[Category],MATCH(TRUE,ISNUMBER(SEARCH(Table2[Unique ID Contains],B298)),0)))</f>
        <v>Payroll</v>
      </c>
      <c r="D298" t="str">
        <f>INDEX('13 weeks CF'!$C$9:$C$59,MATCH(C298,'13 weeks CF'!$C$9:$C$59,0))</f>
        <v>Payroll</v>
      </c>
      <c r="E298" s="3">
        <v>297</v>
      </c>
      <c r="F298" s="2">
        <v>45250</v>
      </c>
      <c r="G298" s="3">
        <v>79968</v>
      </c>
      <c r="H298" s="4" t="s">
        <v>7</v>
      </c>
      <c r="I298" s="5">
        <v>-970</v>
      </c>
      <c r="J298" s="5">
        <v>376060</v>
      </c>
    </row>
    <row r="299" spans="1:10" x14ac:dyDescent="0.3">
      <c r="A299" s="11">
        <f t="shared" si="8"/>
        <v>45255</v>
      </c>
      <c r="B299" t="str">
        <f t="shared" si="9"/>
        <v>298DEPOSIT</v>
      </c>
      <c r="C299" t="str" cm="1">
        <f t="array" ref="C299">IFERROR(INDEX(Table1[Category],MATCH(B299,Table1[Unique ID Matches],0)),INDEX(Table2[Category],MATCH(TRUE,ISNUMBER(SEARCH(Table2[Unique ID Contains],B299)),0)))</f>
        <v>Invoiced AR + New Revenue</v>
      </c>
      <c r="D299" t="str">
        <f>INDEX('13 weeks CF'!$C$9:$C$59,MATCH(C299,'13 weeks CF'!$C$9:$C$59,0))</f>
        <v>Invoiced AR + New Revenue</v>
      </c>
      <c r="E299" s="3">
        <v>298</v>
      </c>
      <c r="F299" s="2">
        <v>45251</v>
      </c>
      <c r="G299" s="3" t="s">
        <v>8</v>
      </c>
      <c r="H299" s="4" t="s">
        <v>9</v>
      </c>
      <c r="I299" s="5">
        <v>6310</v>
      </c>
      <c r="J299" s="5">
        <v>382370</v>
      </c>
    </row>
    <row r="300" spans="1:10" x14ac:dyDescent="0.3">
      <c r="A300" s="11">
        <f t="shared" si="8"/>
        <v>45255</v>
      </c>
      <c r="B300" t="str">
        <f t="shared" si="9"/>
        <v>299ELECTRONIC WITHDRAWAL GLOWTECH</v>
      </c>
      <c r="C300" t="str" cm="1">
        <f t="array" ref="C300">IFERROR(INDEX(Table1[Category],MATCH(B300,Table1[Unique ID Matches],0)),INDEX(Table2[Category],MATCH(TRUE,ISNUMBER(SEARCH(Table2[Unique ID Contains],B300)),0)))</f>
        <v>Technology</v>
      </c>
      <c r="D300" t="str">
        <f>INDEX('13 weeks CF'!$C$9:$C$59,MATCH(C300,'13 weeks CF'!$C$9:$C$59,0))</f>
        <v>Technology</v>
      </c>
      <c r="E300" s="3">
        <v>299</v>
      </c>
      <c r="F300" s="2">
        <v>45251</v>
      </c>
      <c r="G300" s="3" t="s">
        <v>5</v>
      </c>
      <c r="H300" s="4" t="s">
        <v>10</v>
      </c>
      <c r="I300" s="5">
        <v>-1020</v>
      </c>
      <c r="J300" s="5">
        <v>381350</v>
      </c>
    </row>
    <row r="301" spans="1:10" x14ac:dyDescent="0.3">
      <c r="A301" s="11">
        <f t="shared" si="8"/>
        <v>45255</v>
      </c>
      <c r="B301" t="str">
        <f t="shared" si="9"/>
        <v>300CHECK</v>
      </c>
      <c r="C301" t="str" cm="1">
        <f t="array" ref="C301">IFERROR(INDEX(Table1[Category],MATCH(B301,Table1[Unique ID Matches],0)),INDEX(Table2[Category],MATCH(TRUE,ISNUMBER(SEARCH(Table2[Unique ID Contains],B301)),0)))</f>
        <v>Accounts Payable</v>
      </c>
      <c r="D301" t="str">
        <f>INDEX('13 weeks CF'!$C$9:$C$59,MATCH(C301,'13 weeks CF'!$C$9:$C$59,0))</f>
        <v>Accounts Payable</v>
      </c>
      <c r="E301" s="3">
        <v>300</v>
      </c>
      <c r="F301" s="2">
        <v>45251</v>
      </c>
      <c r="G301" s="3">
        <v>79963</v>
      </c>
      <c r="H301" s="4" t="s">
        <v>7</v>
      </c>
      <c r="I301" s="5">
        <v>-5250</v>
      </c>
      <c r="J301" s="5">
        <v>376100</v>
      </c>
    </row>
    <row r="302" spans="1:10" x14ac:dyDescent="0.3">
      <c r="A302" s="11">
        <f t="shared" si="8"/>
        <v>45255</v>
      </c>
      <c r="B302" t="str">
        <f t="shared" si="9"/>
        <v>301CHECK</v>
      </c>
      <c r="C302" t="str" cm="1">
        <f t="array" ref="C302">IFERROR(INDEX(Table1[Category],MATCH(B302,Table1[Unique ID Matches],0)),INDEX(Table2[Category],MATCH(TRUE,ISNUMBER(SEARCH(Table2[Unique ID Contains],B302)),0)))</f>
        <v>Payroll</v>
      </c>
      <c r="D302" t="str">
        <f>INDEX('13 weeks CF'!$C$9:$C$59,MATCH(C302,'13 weeks CF'!$C$9:$C$59,0))</f>
        <v>Payroll</v>
      </c>
      <c r="E302" s="3">
        <v>301</v>
      </c>
      <c r="F302" s="2">
        <v>45251</v>
      </c>
      <c r="G302" s="3">
        <v>79966</v>
      </c>
      <c r="H302" s="4" t="s">
        <v>7</v>
      </c>
      <c r="I302" s="5">
        <v>-1330</v>
      </c>
      <c r="J302" s="5">
        <v>374770</v>
      </c>
    </row>
    <row r="303" spans="1:10" x14ac:dyDescent="0.3">
      <c r="A303" s="11">
        <f t="shared" si="8"/>
        <v>45255</v>
      </c>
      <c r="B303" t="str">
        <f t="shared" si="9"/>
        <v>302ELECTRONIC WITHDRAWAL STATE DEPT REVENUE</v>
      </c>
      <c r="C303" t="str" cm="1">
        <f t="array" ref="C303">IFERROR(INDEX(Table1[Category],MATCH(B303,Table1[Unique ID Matches],0)),INDEX(Table2[Category],MATCH(TRUE,ISNUMBER(SEARCH(Table2[Unique ID Contains],B303)),0)))</f>
        <v>Tax Distributions</v>
      </c>
      <c r="D303" t="str">
        <f>INDEX('13 weeks CF'!$C$9:$C$59,MATCH(C303,'13 weeks CF'!$C$9:$C$59,0))</f>
        <v>Tax Distributions</v>
      </c>
      <c r="E303" s="3">
        <v>302</v>
      </c>
      <c r="F303" s="2">
        <v>45252</v>
      </c>
      <c r="G303" s="3" t="s">
        <v>5</v>
      </c>
      <c r="H303" s="4" t="s">
        <v>11</v>
      </c>
      <c r="I303" s="5">
        <v>-2140</v>
      </c>
      <c r="J303" s="5">
        <v>372630</v>
      </c>
    </row>
    <row r="304" spans="1:10" x14ac:dyDescent="0.3">
      <c r="A304" s="11">
        <f t="shared" si="8"/>
        <v>45255</v>
      </c>
      <c r="B304" t="str">
        <f t="shared" si="9"/>
        <v>303ELECTRONIC WITHDRAWAL PAYROLL</v>
      </c>
      <c r="C304" t="str" cm="1">
        <f t="array" ref="C304">IFERROR(INDEX(Table1[Category],MATCH(B304,Table1[Unique ID Matches],0)),INDEX(Table2[Category],MATCH(TRUE,ISNUMBER(SEARCH(Table2[Unique ID Contains],B304)),0)))</f>
        <v>Payroll</v>
      </c>
      <c r="D304" t="str">
        <f>INDEX('13 weeks CF'!$C$9:$C$59,MATCH(C304,'13 weeks CF'!$C$9:$C$59,0))</f>
        <v>Payroll</v>
      </c>
      <c r="E304" s="3">
        <v>303</v>
      </c>
      <c r="F304" s="2">
        <v>45252</v>
      </c>
      <c r="G304" s="3" t="s">
        <v>5</v>
      </c>
      <c r="H304" s="4" t="s">
        <v>13</v>
      </c>
      <c r="I304" s="5">
        <v>-4280</v>
      </c>
      <c r="J304" s="5">
        <v>368350</v>
      </c>
    </row>
    <row r="305" spans="1:10" x14ac:dyDescent="0.3">
      <c r="A305" s="11">
        <f t="shared" si="8"/>
        <v>45255</v>
      </c>
      <c r="B305" t="str">
        <f t="shared" si="9"/>
        <v>304ELECTRONIC WITHDRAWAL IRS</v>
      </c>
      <c r="C305" t="str" cm="1">
        <f t="array" ref="C305">IFERROR(INDEX(Table1[Category],MATCH(B305,Table1[Unique ID Matches],0)),INDEX(Table2[Category],MATCH(TRUE,ISNUMBER(SEARCH(Table2[Unique ID Contains],B305)),0)))</f>
        <v>Tax Distributions</v>
      </c>
      <c r="D305" t="str">
        <f>INDEX('13 weeks CF'!$C$9:$C$59,MATCH(C305,'13 weeks CF'!$C$9:$C$59,0))</f>
        <v>Tax Distributions</v>
      </c>
      <c r="E305" s="3">
        <v>304</v>
      </c>
      <c r="F305" s="2">
        <v>45252</v>
      </c>
      <c r="G305" s="3" t="s">
        <v>5</v>
      </c>
      <c r="H305" s="4" t="s">
        <v>12</v>
      </c>
      <c r="I305" s="5">
        <v>-10540</v>
      </c>
      <c r="J305" s="5">
        <v>357810</v>
      </c>
    </row>
    <row r="306" spans="1:10" x14ac:dyDescent="0.3">
      <c r="A306" s="11">
        <f t="shared" si="8"/>
        <v>45255</v>
      </c>
      <c r="B306" t="str">
        <f t="shared" si="9"/>
        <v>305CHECK</v>
      </c>
      <c r="C306" t="str" cm="1">
        <f t="array" ref="C306">IFERROR(INDEX(Table1[Category],MATCH(B306,Table1[Unique ID Matches],0)),INDEX(Table2[Category],MATCH(TRUE,ISNUMBER(SEARCH(Table2[Unique ID Contains],B306)),0)))</f>
        <v>Payroll</v>
      </c>
      <c r="D306" t="str">
        <f>INDEX('13 weeks CF'!$C$9:$C$59,MATCH(C306,'13 weeks CF'!$C$9:$C$59,0))</f>
        <v>Payroll</v>
      </c>
      <c r="E306" s="3">
        <v>305</v>
      </c>
      <c r="F306" s="2">
        <v>45254</v>
      </c>
      <c r="G306" s="3">
        <v>79991</v>
      </c>
      <c r="H306" s="4" t="s">
        <v>7</v>
      </c>
      <c r="I306" s="5">
        <v>-1370</v>
      </c>
      <c r="J306" s="5">
        <v>356440</v>
      </c>
    </row>
    <row r="307" spans="1:10" x14ac:dyDescent="0.3">
      <c r="A307" s="11">
        <f t="shared" si="8"/>
        <v>45255</v>
      </c>
      <c r="B307" t="str">
        <f t="shared" si="9"/>
        <v>306CHECK</v>
      </c>
      <c r="C307" t="str" cm="1">
        <f t="array" ref="C307">IFERROR(INDEX(Table1[Category],MATCH(B307,Table1[Unique ID Matches],0)),INDEX(Table2[Category],MATCH(TRUE,ISNUMBER(SEARCH(Table2[Unique ID Contains],B307)),0)))</f>
        <v>Payroll</v>
      </c>
      <c r="D307" t="str">
        <f>INDEX('13 weeks CF'!$C$9:$C$59,MATCH(C307,'13 weeks CF'!$C$9:$C$59,0))</f>
        <v>Payroll</v>
      </c>
      <c r="E307" s="3">
        <v>306</v>
      </c>
      <c r="F307" s="2">
        <v>45254</v>
      </c>
      <c r="G307" s="3">
        <v>79986</v>
      </c>
      <c r="H307" s="4" t="s">
        <v>7</v>
      </c>
      <c r="I307" s="5">
        <v>-1080</v>
      </c>
      <c r="J307" s="5">
        <v>355360</v>
      </c>
    </row>
    <row r="308" spans="1:10" x14ac:dyDescent="0.3">
      <c r="A308" s="11">
        <f t="shared" si="8"/>
        <v>45255</v>
      </c>
      <c r="B308" t="str">
        <f t="shared" si="9"/>
        <v>307ELECTRONIC WITHDRAWAL GLOWTECH</v>
      </c>
      <c r="C308" t="str" cm="1">
        <f t="array" ref="C308">IFERROR(INDEX(Table1[Category],MATCH(B308,Table1[Unique ID Matches],0)),INDEX(Table2[Category],MATCH(TRUE,ISNUMBER(SEARCH(Table2[Unique ID Contains],B308)),0)))</f>
        <v>Technology</v>
      </c>
      <c r="D308" t="str">
        <f>INDEX('13 weeks CF'!$C$9:$C$59,MATCH(C308,'13 weeks CF'!$C$9:$C$59,0))</f>
        <v>Technology</v>
      </c>
      <c r="E308" s="3">
        <v>307</v>
      </c>
      <c r="F308" s="2">
        <v>45254</v>
      </c>
      <c r="G308" s="3" t="s">
        <v>5</v>
      </c>
      <c r="H308" s="4" t="s">
        <v>10</v>
      </c>
      <c r="I308" s="5">
        <v>-1110</v>
      </c>
      <c r="J308" s="5">
        <v>354250</v>
      </c>
    </row>
    <row r="309" spans="1:10" x14ac:dyDescent="0.3">
      <c r="A309" s="11">
        <f t="shared" si="8"/>
        <v>45255</v>
      </c>
      <c r="B309" t="str">
        <f t="shared" si="9"/>
        <v>308CHECK</v>
      </c>
      <c r="C309" t="str" cm="1">
        <f t="array" ref="C309">IFERROR(INDEX(Table1[Category],MATCH(B309,Table1[Unique ID Matches],0)),INDEX(Table2[Category],MATCH(TRUE,ISNUMBER(SEARCH(Table2[Unique ID Contains],B309)),0)))</f>
        <v>Payroll</v>
      </c>
      <c r="D309" t="str">
        <f>INDEX('13 weeks CF'!$C$9:$C$59,MATCH(C309,'13 weeks CF'!$C$9:$C$59,0))</f>
        <v>Payroll</v>
      </c>
      <c r="E309" s="3">
        <v>308</v>
      </c>
      <c r="F309" s="2">
        <v>45254</v>
      </c>
      <c r="G309" s="3">
        <v>79766</v>
      </c>
      <c r="H309" s="4" t="s">
        <v>7</v>
      </c>
      <c r="I309" s="5">
        <v>-280</v>
      </c>
      <c r="J309" s="5">
        <v>353970</v>
      </c>
    </row>
    <row r="310" spans="1:10" x14ac:dyDescent="0.3">
      <c r="A310" s="11">
        <f t="shared" si="8"/>
        <v>45255</v>
      </c>
      <c r="B310" t="str">
        <f t="shared" si="9"/>
        <v>309CHECK</v>
      </c>
      <c r="C310" t="str" cm="1">
        <f t="array" ref="C310">IFERROR(INDEX(Table1[Category],MATCH(B310,Table1[Unique ID Matches],0)),INDEX(Table2[Category],MATCH(TRUE,ISNUMBER(SEARCH(Table2[Unique ID Contains],B310)),0)))</f>
        <v>Payroll</v>
      </c>
      <c r="D310" t="str">
        <f>INDEX('13 weeks CF'!$C$9:$C$59,MATCH(C310,'13 weeks CF'!$C$9:$C$59,0))</f>
        <v>Payroll</v>
      </c>
      <c r="E310" s="3">
        <v>309</v>
      </c>
      <c r="F310" s="2">
        <v>45254</v>
      </c>
      <c r="G310" s="3">
        <v>79970</v>
      </c>
      <c r="H310" s="4" t="s">
        <v>7</v>
      </c>
      <c r="I310" s="5">
        <v>-1310</v>
      </c>
      <c r="J310" s="5">
        <v>352660</v>
      </c>
    </row>
    <row r="311" spans="1:10" x14ac:dyDescent="0.3">
      <c r="A311" s="11">
        <f t="shared" si="8"/>
        <v>45255</v>
      </c>
      <c r="B311" t="str">
        <f t="shared" si="9"/>
        <v>310CHECK</v>
      </c>
      <c r="C311" t="str" cm="1">
        <f t="array" ref="C311">IFERROR(INDEX(Table1[Category],MATCH(B311,Table1[Unique ID Matches],0)),INDEX(Table2[Category],MATCH(TRUE,ISNUMBER(SEARCH(Table2[Unique ID Contains],B311)),0)))</f>
        <v>Payroll</v>
      </c>
      <c r="D311" t="str">
        <f>INDEX('13 weeks CF'!$C$9:$C$59,MATCH(C311,'13 weeks CF'!$C$9:$C$59,0))</f>
        <v>Payroll</v>
      </c>
      <c r="E311" s="3">
        <v>310</v>
      </c>
      <c r="F311" s="2">
        <v>45254</v>
      </c>
      <c r="G311" s="3">
        <v>79971</v>
      </c>
      <c r="H311" s="4" t="s">
        <v>7</v>
      </c>
      <c r="I311" s="5">
        <v>-1200</v>
      </c>
      <c r="J311" s="5">
        <v>351460</v>
      </c>
    </row>
    <row r="312" spans="1:10" x14ac:dyDescent="0.3">
      <c r="A312" s="11">
        <f t="shared" si="8"/>
        <v>45255</v>
      </c>
      <c r="B312" t="str">
        <f t="shared" si="9"/>
        <v>311CHECK</v>
      </c>
      <c r="C312" t="str" cm="1">
        <f t="array" ref="C312">IFERROR(INDEX(Table1[Category],MATCH(B312,Table1[Unique ID Matches],0)),INDEX(Table2[Category],MATCH(TRUE,ISNUMBER(SEARCH(Table2[Unique ID Contains],B312)),0)))</f>
        <v>Payroll</v>
      </c>
      <c r="D312" t="str">
        <f>INDEX('13 weeks CF'!$C$9:$C$59,MATCH(C312,'13 weeks CF'!$C$9:$C$59,0))</f>
        <v>Payroll</v>
      </c>
      <c r="E312" s="3">
        <v>311</v>
      </c>
      <c r="F312" s="2">
        <v>45254</v>
      </c>
      <c r="G312" s="3">
        <v>79972</v>
      </c>
      <c r="H312" s="4" t="s">
        <v>7</v>
      </c>
      <c r="I312" s="5">
        <v>-1090</v>
      </c>
      <c r="J312" s="5">
        <v>350370</v>
      </c>
    </row>
    <row r="313" spans="1:10" x14ac:dyDescent="0.3">
      <c r="A313" s="11">
        <f t="shared" si="8"/>
        <v>45255</v>
      </c>
      <c r="B313" t="str">
        <f t="shared" si="9"/>
        <v>312CHECK</v>
      </c>
      <c r="C313" t="str" cm="1">
        <f t="array" ref="C313">IFERROR(INDEX(Table1[Category],MATCH(B313,Table1[Unique ID Matches],0)),INDEX(Table2[Category],MATCH(TRUE,ISNUMBER(SEARCH(Table2[Unique ID Contains],B313)),0)))</f>
        <v>Payroll</v>
      </c>
      <c r="D313" t="str">
        <f>INDEX('13 weeks CF'!$C$9:$C$59,MATCH(C313,'13 weeks CF'!$C$9:$C$59,0))</f>
        <v>Payroll</v>
      </c>
      <c r="E313" s="3">
        <v>312</v>
      </c>
      <c r="F313" s="2">
        <v>45254</v>
      </c>
      <c r="G313" s="3">
        <v>79973</v>
      </c>
      <c r="H313" s="4" t="s">
        <v>7</v>
      </c>
      <c r="I313" s="5">
        <v>-1880</v>
      </c>
      <c r="J313" s="5">
        <v>348490</v>
      </c>
    </row>
    <row r="314" spans="1:10" x14ac:dyDescent="0.3">
      <c r="A314" s="11">
        <f t="shared" si="8"/>
        <v>45255</v>
      </c>
      <c r="B314" t="str">
        <f t="shared" si="9"/>
        <v>313CHECK</v>
      </c>
      <c r="C314" t="str" cm="1">
        <f t="array" ref="C314">IFERROR(INDEX(Table1[Category],MATCH(B314,Table1[Unique ID Matches],0)),INDEX(Table2[Category],MATCH(TRUE,ISNUMBER(SEARCH(Table2[Unique ID Contains],B314)),0)))</f>
        <v>Payroll</v>
      </c>
      <c r="D314" t="str">
        <f>INDEX('13 weeks CF'!$C$9:$C$59,MATCH(C314,'13 weeks CF'!$C$9:$C$59,0))</f>
        <v>Payroll</v>
      </c>
      <c r="E314" s="3">
        <v>313</v>
      </c>
      <c r="F314" s="2">
        <v>45254</v>
      </c>
      <c r="G314" s="3">
        <v>79974</v>
      </c>
      <c r="H314" s="4" t="s">
        <v>7</v>
      </c>
      <c r="I314" s="5">
        <v>-1390</v>
      </c>
      <c r="J314" s="5">
        <v>347100</v>
      </c>
    </row>
    <row r="315" spans="1:10" x14ac:dyDescent="0.3">
      <c r="A315" s="11">
        <f t="shared" si="8"/>
        <v>45255</v>
      </c>
      <c r="B315" t="str">
        <f t="shared" si="9"/>
        <v>314CHECK</v>
      </c>
      <c r="C315" t="str" cm="1">
        <f t="array" ref="C315">IFERROR(INDEX(Table1[Category],MATCH(B315,Table1[Unique ID Matches],0)),INDEX(Table2[Category],MATCH(TRUE,ISNUMBER(SEARCH(Table2[Unique ID Contains],B315)),0)))</f>
        <v>Payroll</v>
      </c>
      <c r="D315" t="str">
        <f>INDEX('13 weeks CF'!$C$9:$C$59,MATCH(C315,'13 weeks CF'!$C$9:$C$59,0))</f>
        <v>Payroll</v>
      </c>
      <c r="E315" s="3">
        <v>314</v>
      </c>
      <c r="F315" s="2">
        <v>45254</v>
      </c>
      <c r="G315" s="3">
        <v>79975</v>
      </c>
      <c r="H315" s="4" t="s">
        <v>7</v>
      </c>
      <c r="I315" s="5">
        <v>-1320</v>
      </c>
      <c r="J315" s="5">
        <v>345780</v>
      </c>
    </row>
    <row r="316" spans="1:10" x14ac:dyDescent="0.3">
      <c r="A316" s="11">
        <f t="shared" si="8"/>
        <v>45255</v>
      </c>
      <c r="B316" t="str">
        <f t="shared" si="9"/>
        <v>315CHECK</v>
      </c>
      <c r="C316" t="str" cm="1">
        <f t="array" ref="C316">IFERROR(INDEX(Table1[Category],MATCH(B316,Table1[Unique ID Matches],0)),INDEX(Table2[Category],MATCH(TRUE,ISNUMBER(SEARCH(Table2[Unique ID Contains],B316)),0)))</f>
        <v>Payroll</v>
      </c>
      <c r="D316" t="str">
        <f>INDEX('13 weeks CF'!$C$9:$C$59,MATCH(C316,'13 weeks CF'!$C$9:$C$59,0))</f>
        <v>Payroll</v>
      </c>
      <c r="E316" s="3">
        <v>315</v>
      </c>
      <c r="F316" s="2">
        <v>45254</v>
      </c>
      <c r="G316" s="3">
        <v>79977</v>
      </c>
      <c r="H316" s="4" t="s">
        <v>7</v>
      </c>
      <c r="I316" s="5">
        <v>-1210</v>
      </c>
      <c r="J316" s="5">
        <v>344570</v>
      </c>
    </row>
    <row r="317" spans="1:10" x14ac:dyDescent="0.3">
      <c r="A317" s="11">
        <f t="shared" si="8"/>
        <v>45255</v>
      </c>
      <c r="B317" t="str">
        <f t="shared" si="9"/>
        <v>316CHECK</v>
      </c>
      <c r="C317" t="str" cm="1">
        <f t="array" ref="C317">IFERROR(INDEX(Table1[Category],MATCH(B317,Table1[Unique ID Matches],0)),INDEX(Table2[Category],MATCH(TRUE,ISNUMBER(SEARCH(Table2[Unique ID Contains],B317)),0)))</f>
        <v>Payroll</v>
      </c>
      <c r="D317" t="str">
        <f>INDEX('13 weeks CF'!$C$9:$C$59,MATCH(C317,'13 weeks CF'!$C$9:$C$59,0))</f>
        <v>Payroll</v>
      </c>
      <c r="E317" s="3">
        <v>316</v>
      </c>
      <c r="F317" s="2">
        <v>45254</v>
      </c>
      <c r="G317" s="3">
        <v>79978</v>
      </c>
      <c r="H317" s="4" t="s">
        <v>7</v>
      </c>
      <c r="I317" s="5">
        <v>-1020</v>
      </c>
      <c r="J317" s="5">
        <v>343550</v>
      </c>
    </row>
    <row r="318" spans="1:10" x14ac:dyDescent="0.3">
      <c r="A318" s="11">
        <f t="shared" si="8"/>
        <v>45255</v>
      </c>
      <c r="B318" t="str">
        <f t="shared" si="9"/>
        <v>317CHECK</v>
      </c>
      <c r="C318" t="str" cm="1">
        <f t="array" ref="C318">IFERROR(INDEX(Table1[Category],MATCH(B318,Table1[Unique ID Matches],0)),INDEX(Table2[Category],MATCH(TRUE,ISNUMBER(SEARCH(Table2[Unique ID Contains],B318)),0)))</f>
        <v>Payroll</v>
      </c>
      <c r="D318" t="str">
        <f>INDEX('13 weeks CF'!$C$9:$C$59,MATCH(C318,'13 weeks CF'!$C$9:$C$59,0))</f>
        <v>Payroll</v>
      </c>
      <c r="E318" s="3">
        <v>317</v>
      </c>
      <c r="F318" s="2">
        <v>45254</v>
      </c>
      <c r="G318" s="3">
        <v>79979</v>
      </c>
      <c r="H318" s="4" t="s">
        <v>7</v>
      </c>
      <c r="I318" s="5">
        <v>-1170</v>
      </c>
      <c r="J318" s="5">
        <v>342380</v>
      </c>
    </row>
    <row r="319" spans="1:10" x14ac:dyDescent="0.3">
      <c r="A319" s="11">
        <f t="shared" si="8"/>
        <v>45255</v>
      </c>
      <c r="B319" t="str">
        <f t="shared" si="9"/>
        <v>318CHECK</v>
      </c>
      <c r="C319" t="str" cm="1">
        <f t="array" ref="C319">IFERROR(INDEX(Table1[Category],MATCH(B319,Table1[Unique ID Matches],0)),INDEX(Table2[Category],MATCH(TRUE,ISNUMBER(SEARCH(Table2[Unique ID Contains],B319)),0)))</f>
        <v>Payroll</v>
      </c>
      <c r="D319" t="str">
        <f>INDEX('13 weeks CF'!$C$9:$C$59,MATCH(C319,'13 weeks CF'!$C$9:$C$59,0))</f>
        <v>Payroll</v>
      </c>
      <c r="E319" s="3">
        <v>318</v>
      </c>
      <c r="F319" s="2">
        <v>45254</v>
      </c>
      <c r="G319" s="3">
        <v>79980</v>
      </c>
      <c r="H319" s="4" t="s">
        <v>7</v>
      </c>
      <c r="I319" s="5">
        <v>-1210</v>
      </c>
      <c r="J319" s="5">
        <v>341170</v>
      </c>
    </row>
    <row r="320" spans="1:10" x14ac:dyDescent="0.3">
      <c r="A320" s="11">
        <f t="shared" si="8"/>
        <v>45255</v>
      </c>
      <c r="B320" t="str">
        <f t="shared" si="9"/>
        <v>319CHECK</v>
      </c>
      <c r="C320" t="str" cm="1">
        <f t="array" ref="C320">IFERROR(INDEX(Table1[Category],MATCH(B320,Table1[Unique ID Matches],0)),INDEX(Table2[Category],MATCH(TRUE,ISNUMBER(SEARCH(Table2[Unique ID Contains],B320)),0)))</f>
        <v>Payroll</v>
      </c>
      <c r="D320" t="str">
        <f>INDEX('13 weeks CF'!$C$9:$C$59,MATCH(C320,'13 weeks CF'!$C$9:$C$59,0))</f>
        <v>Payroll</v>
      </c>
      <c r="E320" s="3">
        <v>319</v>
      </c>
      <c r="F320" s="2">
        <v>45254</v>
      </c>
      <c r="G320" s="3">
        <v>79982</v>
      </c>
      <c r="H320" s="4" t="s">
        <v>7</v>
      </c>
      <c r="I320" s="5">
        <v>-1180</v>
      </c>
      <c r="J320" s="5">
        <v>339990</v>
      </c>
    </row>
    <row r="321" spans="1:10" x14ac:dyDescent="0.3">
      <c r="A321" s="11">
        <f t="shared" si="8"/>
        <v>45255</v>
      </c>
      <c r="B321" t="str">
        <f t="shared" si="9"/>
        <v>320CHECK</v>
      </c>
      <c r="C321" t="str" cm="1">
        <f t="array" ref="C321">IFERROR(INDEX(Table1[Category],MATCH(B321,Table1[Unique ID Matches],0)),INDEX(Table2[Category],MATCH(TRUE,ISNUMBER(SEARCH(Table2[Unique ID Contains],B321)),0)))</f>
        <v>Payroll</v>
      </c>
      <c r="D321" t="str">
        <f>INDEX('13 weeks CF'!$C$9:$C$59,MATCH(C321,'13 weeks CF'!$C$9:$C$59,0))</f>
        <v>Payroll</v>
      </c>
      <c r="E321" s="3">
        <v>320</v>
      </c>
      <c r="F321" s="2">
        <v>45254</v>
      </c>
      <c r="G321" s="3">
        <v>79983</v>
      </c>
      <c r="H321" s="4" t="s">
        <v>7</v>
      </c>
      <c r="I321" s="5">
        <v>-1470</v>
      </c>
      <c r="J321" s="5">
        <v>338520</v>
      </c>
    </row>
    <row r="322" spans="1:10" x14ac:dyDescent="0.3">
      <c r="A322" s="11">
        <f t="shared" ref="A322:A385" si="10">F322+7-WEEKDAY(F322+7-7)</f>
        <v>45255</v>
      </c>
      <c r="B322" t="str">
        <f t="shared" ref="B322:B385" si="11">E322&amp;H322</f>
        <v>321CHECK</v>
      </c>
      <c r="C322" t="str" cm="1">
        <f t="array" ref="C322">IFERROR(INDEX(Table1[Category],MATCH(B322,Table1[Unique ID Matches],0)),INDEX(Table2[Category],MATCH(TRUE,ISNUMBER(SEARCH(Table2[Unique ID Contains],B322)),0)))</f>
        <v>Payroll</v>
      </c>
      <c r="D322" t="str">
        <f>INDEX('13 weeks CF'!$C$9:$C$59,MATCH(C322,'13 weeks CF'!$C$9:$C$59,0))</f>
        <v>Payroll</v>
      </c>
      <c r="E322" s="3">
        <v>321</v>
      </c>
      <c r="F322" s="2">
        <v>45254</v>
      </c>
      <c r="G322" s="3">
        <v>79984</v>
      </c>
      <c r="H322" s="4" t="s">
        <v>7</v>
      </c>
      <c r="I322" s="5">
        <v>-990</v>
      </c>
      <c r="J322" s="5">
        <v>337530</v>
      </c>
    </row>
    <row r="323" spans="1:10" x14ac:dyDescent="0.3">
      <c r="A323" s="11">
        <f t="shared" si="10"/>
        <v>45255</v>
      </c>
      <c r="B323" t="str">
        <f t="shared" si="11"/>
        <v>322CHECK</v>
      </c>
      <c r="C323" t="str" cm="1">
        <f t="array" ref="C323">IFERROR(INDEX(Table1[Category],MATCH(B323,Table1[Unique ID Matches],0)),INDEX(Table2[Category],MATCH(TRUE,ISNUMBER(SEARCH(Table2[Unique ID Contains],B323)),0)))</f>
        <v>Payroll</v>
      </c>
      <c r="D323" t="str">
        <f>INDEX('13 weeks CF'!$C$9:$C$59,MATCH(C323,'13 weeks CF'!$C$9:$C$59,0))</f>
        <v>Payroll</v>
      </c>
      <c r="E323" s="3">
        <v>322</v>
      </c>
      <c r="F323" s="2">
        <v>45254</v>
      </c>
      <c r="G323" s="3">
        <v>79985</v>
      </c>
      <c r="H323" s="4" t="s">
        <v>7</v>
      </c>
      <c r="I323" s="5">
        <v>-1520</v>
      </c>
      <c r="J323" s="5">
        <v>336010</v>
      </c>
    </row>
    <row r="324" spans="1:10" x14ac:dyDescent="0.3">
      <c r="A324" s="11">
        <f t="shared" si="10"/>
        <v>45255</v>
      </c>
      <c r="B324" t="str">
        <f t="shared" si="11"/>
        <v>323CHECK</v>
      </c>
      <c r="C324" t="str" cm="1">
        <f t="array" ref="C324">IFERROR(INDEX(Table1[Category],MATCH(B324,Table1[Unique ID Matches],0)),INDEX(Table2[Category],MATCH(TRUE,ISNUMBER(SEARCH(Table2[Unique ID Contains],B324)),0)))</f>
        <v>Payroll</v>
      </c>
      <c r="D324" t="str">
        <f>INDEX('13 weeks CF'!$C$9:$C$59,MATCH(C324,'13 weeks CF'!$C$9:$C$59,0))</f>
        <v>Payroll</v>
      </c>
      <c r="E324" s="3">
        <v>323</v>
      </c>
      <c r="F324" s="2">
        <v>45254</v>
      </c>
      <c r="G324" s="3">
        <v>79990</v>
      </c>
      <c r="H324" s="4" t="s">
        <v>7</v>
      </c>
      <c r="I324" s="5">
        <v>-1070</v>
      </c>
      <c r="J324" s="5">
        <v>334940</v>
      </c>
    </row>
    <row r="325" spans="1:10" x14ac:dyDescent="0.3">
      <c r="A325" s="11">
        <f t="shared" si="10"/>
        <v>45255</v>
      </c>
      <c r="B325" t="str">
        <f t="shared" si="11"/>
        <v>324CHECK</v>
      </c>
      <c r="C325" t="str" cm="1">
        <f t="array" ref="C325">IFERROR(INDEX(Table1[Category],MATCH(B325,Table1[Unique ID Matches],0)),INDEX(Table2[Category],MATCH(TRUE,ISNUMBER(SEARCH(Table2[Unique ID Contains],B325)),0)))</f>
        <v>Payroll</v>
      </c>
      <c r="D325" t="str">
        <f>INDEX('13 weeks CF'!$C$9:$C$59,MATCH(C325,'13 weeks CF'!$C$9:$C$59,0))</f>
        <v>Payroll</v>
      </c>
      <c r="E325" s="3">
        <v>324</v>
      </c>
      <c r="F325" s="2">
        <v>45254</v>
      </c>
      <c r="G325" s="3">
        <v>79992</v>
      </c>
      <c r="H325" s="4" t="s">
        <v>7</v>
      </c>
      <c r="I325" s="5">
        <v>-1600</v>
      </c>
      <c r="J325" s="5">
        <v>333340</v>
      </c>
    </row>
    <row r="326" spans="1:10" x14ac:dyDescent="0.3">
      <c r="A326" s="11">
        <f t="shared" si="10"/>
        <v>45255</v>
      </c>
      <c r="B326" t="str">
        <f t="shared" si="11"/>
        <v>325CHECK</v>
      </c>
      <c r="C326" t="str" cm="1">
        <f t="array" ref="C326">IFERROR(INDEX(Table1[Category],MATCH(B326,Table1[Unique ID Matches],0)),INDEX(Table2[Category],MATCH(TRUE,ISNUMBER(SEARCH(Table2[Unique ID Contains],B326)),0)))</f>
        <v>Payroll</v>
      </c>
      <c r="D326" t="str">
        <f>INDEX('13 weeks CF'!$C$9:$C$59,MATCH(C326,'13 weeks CF'!$C$9:$C$59,0))</f>
        <v>Payroll</v>
      </c>
      <c r="E326" s="3">
        <v>325</v>
      </c>
      <c r="F326" s="2">
        <v>45254</v>
      </c>
      <c r="G326" s="3">
        <v>79993</v>
      </c>
      <c r="H326" s="4" t="s">
        <v>7</v>
      </c>
      <c r="I326" s="5">
        <v>-1060</v>
      </c>
      <c r="J326" s="5">
        <v>332280</v>
      </c>
    </row>
    <row r="327" spans="1:10" x14ac:dyDescent="0.3">
      <c r="A327" s="11">
        <f t="shared" si="10"/>
        <v>45255</v>
      </c>
      <c r="B327" t="str">
        <f t="shared" si="11"/>
        <v>326CHECK</v>
      </c>
      <c r="C327" t="str" cm="1">
        <f t="array" ref="C327">IFERROR(INDEX(Table1[Category],MATCH(B327,Table1[Unique ID Matches],0)),INDEX(Table2[Category],MATCH(TRUE,ISNUMBER(SEARCH(Table2[Unique ID Contains],B327)),0)))</f>
        <v>Payroll</v>
      </c>
      <c r="D327" t="str">
        <f>INDEX('13 weeks CF'!$C$9:$C$59,MATCH(C327,'13 weeks CF'!$C$9:$C$59,0))</f>
        <v>Payroll</v>
      </c>
      <c r="E327" s="3">
        <v>326</v>
      </c>
      <c r="F327" s="2">
        <v>45254</v>
      </c>
      <c r="G327" s="3">
        <v>79994</v>
      </c>
      <c r="H327" s="4" t="s">
        <v>7</v>
      </c>
      <c r="I327" s="5">
        <v>-1270</v>
      </c>
      <c r="J327" s="5">
        <v>331010</v>
      </c>
    </row>
    <row r="328" spans="1:10" x14ac:dyDescent="0.3">
      <c r="A328" s="11">
        <f t="shared" si="10"/>
        <v>45255</v>
      </c>
      <c r="B328" t="str">
        <f t="shared" si="11"/>
        <v>327CHECK</v>
      </c>
      <c r="C328" t="str" cm="1">
        <f t="array" ref="C328">IFERROR(INDEX(Table1[Category],MATCH(B328,Table1[Unique ID Matches],0)),INDEX(Table2[Category],MATCH(TRUE,ISNUMBER(SEARCH(Table2[Unique ID Contains],B328)),0)))</f>
        <v>Payroll</v>
      </c>
      <c r="D328" t="str">
        <f>INDEX('13 weeks CF'!$C$9:$C$59,MATCH(C328,'13 weeks CF'!$C$9:$C$59,0))</f>
        <v>Payroll</v>
      </c>
      <c r="E328" s="3">
        <v>327</v>
      </c>
      <c r="F328" s="2">
        <v>45254</v>
      </c>
      <c r="G328" s="3">
        <v>79995</v>
      </c>
      <c r="H328" s="4" t="s">
        <v>7</v>
      </c>
      <c r="I328" s="5">
        <v>-1160</v>
      </c>
      <c r="J328" s="5">
        <v>329850</v>
      </c>
    </row>
    <row r="329" spans="1:10" x14ac:dyDescent="0.3">
      <c r="A329" s="11">
        <f t="shared" si="10"/>
        <v>45255</v>
      </c>
      <c r="B329" t="str">
        <f t="shared" si="11"/>
        <v>328CHECK</v>
      </c>
      <c r="C329" t="str" cm="1">
        <f t="array" ref="C329">IFERROR(INDEX(Table1[Category],MATCH(B329,Table1[Unique ID Matches],0)),INDEX(Table2[Category],MATCH(TRUE,ISNUMBER(SEARCH(Table2[Unique ID Contains],B329)),0)))</f>
        <v>Payroll</v>
      </c>
      <c r="D329" t="str">
        <f>INDEX('13 weeks CF'!$C$9:$C$59,MATCH(C329,'13 weeks CF'!$C$9:$C$59,0))</f>
        <v>Payroll</v>
      </c>
      <c r="E329" s="3">
        <v>328</v>
      </c>
      <c r="F329" s="2">
        <v>45254</v>
      </c>
      <c r="G329" s="3">
        <v>79996</v>
      </c>
      <c r="H329" s="4" t="s">
        <v>7</v>
      </c>
      <c r="I329" s="5">
        <v>-1230</v>
      </c>
      <c r="J329" s="5">
        <v>328620</v>
      </c>
    </row>
    <row r="330" spans="1:10" x14ac:dyDescent="0.3">
      <c r="A330" s="11">
        <f t="shared" si="10"/>
        <v>45255</v>
      </c>
      <c r="B330" t="str">
        <f t="shared" si="11"/>
        <v>329CHECK</v>
      </c>
      <c r="C330" t="str" cm="1">
        <f t="array" ref="C330">IFERROR(INDEX(Table1[Category],MATCH(B330,Table1[Unique ID Matches],0)),INDEX(Table2[Category],MATCH(TRUE,ISNUMBER(SEARCH(Table2[Unique ID Contains],B330)),0)))</f>
        <v>Payroll</v>
      </c>
      <c r="D330" t="str">
        <f>INDEX('13 weeks CF'!$C$9:$C$59,MATCH(C330,'13 weeks CF'!$C$9:$C$59,0))</f>
        <v>Payroll</v>
      </c>
      <c r="E330" s="3">
        <v>329</v>
      </c>
      <c r="F330" s="2">
        <v>45254</v>
      </c>
      <c r="G330" s="3">
        <v>79997</v>
      </c>
      <c r="H330" s="4" t="s">
        <v>7</v>
      </c>
      <c r="I330" s="5">
        <v>-1320</v>
      </c>
      <c r="J330" s="5">
        <v>327300</v>
      </c>
    </row>
    <row r="331" spans="1:10" x14ac:dyDescent="0.3">
      <c r="A331" s="11">
        <f t="shared" si="10"/>
        <v>45255</v>
      </c>
      <c r="B331" t="str">
        <f t="shared" si="11"/>
        <v>330CHECK</v>
      </c>
      <c r="C331" t="str" cm="1">
        <f t="array" ref="C331">IFERROR(INDEX(Table1[Category],MATCH(B331,Table1[Unique ID Matches],0)),INDEX(Table2[Category],MATCH(TRUE,ISNUMBER(SEARCH(Table2[Unique ID Contains],B331)),0)))</f>
        <v>Payroll</v>
      </c>
      <c r="D331" t="str">
        <f>INDEX('13 weeks CF'!$C$9:$C$59,MATCH(C331,'13 weeks CF'!$C$9:$C$59,0))</f>
        <v>Payroll</v>
      </c>
      <c r="E331" s="3">
        <v>330</v>
      </c>
      <c r="F331" s="2">
        <v>45254</v>
      </c>
      <c r="G331" s="3">
        <v>80000</v>
      </c>
      <c r="H331" s="4" t="s">
        <v>7</v>
      </c>
      <c r="I331" s="5">
        <v>-950</v>
      </c>
      <c r="J331" s="5">
        <v>326350</v>
      </c>
    </row>
    <row r="332" spans="1:10" x14ac:dyDescent="0.3">
      <c r="A332" s="11">
        <f t="shared" si="10"/>
        <v>45255</v>
      </c>
      <c r="B332" t="str">
        <f t="shared" si="11"/>
        <v>331CHECK</v>
      </c>
      <c r="C332" t="str" cm="1">
        <f t="array" ref="C332">IFERROR(INDEX(Table1[Category],MATCH(B332,Table1[Unique ID Matches],0)),INDEX(Table2[Category],MATCH(TRUE,ISNUMBER(SEARCH(Table2[Unique ID Contains],B332)),0)))</f>
        <v>Payroll</v>
      </c>
      <c r="D332" t="str">
        <f>INDEX('13 weeks CF'!$C$9:$C$59,MATCH(C332,'13 weeks CF'!$C$9:$C$59,0))</f>
        <v>Payroll</v>
      </c>
      <c r="E332" s="3">
        <v>331</v>
      </c>
      <c r="F332" s="2">
        <v>45254</v>
      </c>
      <c r="G332" s="3">
        <v>80002</v>
      </c>
      <c r="H332" s="4" t="s">
        <v>7</v>
      </c>
      <c r="I332" s="5">
        <v>-1090</v>
      </c>
      <c r="J332" s="5">
        <v>325260</v>
      </c>
    </row>
    <row r="333" spans="1:10" x14ac:dyDescent="0.3">
      <c r="A333" s="11">
        <f t="shared" si="10"/>
        <v>45262</v>
      </c>
      <c r="B333" t="str">
        <f t="shared" si="11"/>
        <v>332WEB AUTHORIZED PMT KRYPTONIX</v>
      </c>
      <c r="C333" t="str" cm="1">
        <f t="array" ref="C333">IFERROR(INDEX(Table1[Category],MATCH(B333,Table1[Unique ID Matches],0)),INDEX(Table2[Category],MATCH(TRUE,ISNUMBER(SEARCH(Table2[Unique ID Contains],B333)),0)))</f>
        <v>Dues &amp; Subscriptions</v>
      </c>
      <c r="D333" t="str">
        <f>INDEX('13 weeks CF'!$C$9:$C$59,MATCH(C333,'13 weeks CF'!$C$9:$C$59,0))</f>
        <v>Dues &amp; Subscriptions</v>
      </c>
      <c r="E333" s="3">
        <v>332</v>
      </c>
      <c r="F333" s="2">
        <v>45257</v>
      </c>
      <c r="G333" s="3" t="s">
        <v>5</v>
      </c>
      <c r="H333" s="4" t="s">
        <v>6</v>
      </c>
      <c r="I333" s="5">
        <v>-80</v>
      </c>
      <c r="J333" s="5">
        <v>325180</v>
      </c>
    </row>
    <row r="334" spans="1:10" x14ac:dyDescent="0.3">
      <c r="A334" s="11">
        <f t="shared" si="10"/>
        <v>45262</v>
      </c>
      <c r="B334" t="str">
        <f t="shared" si="11"/>
        <v>333WEB AUTHORIZED PMT KRYPTONIX</v>
      </c>
      <c r="C334" t="str" cm="1">
        <f t="array" ref="C334">IFERROR(INDEX(Table1[Category],MATCH(B334,Table1[Unique ID Matches],0)),INDEX(Table2[Category],MATCH(TRUE,ISNUMBER(SEARCH(Table2[Unique ID Contains],B334)),0)))</f>
        <v>Dues &amp; Subscriptions</v>
      </c>
      <c r="D334" t="str">
        <f>INDEX('13 weeks CF'!$C$9:$C$59,MATCH(C334,'13 weeks CF'!$C$9:$C$59,0))</f>
        <v>Dues &amp; Subscriptions</v>
      </c>
      <c r="E334" s="3">
        <v>333</v>
      </c>
      <c r="F334" s="2">
        <v>45257</v>
      </c>
      <c r="G334" s="3" t="s">
        <v>5</v>
      </c>
      <c r="H334" s="4" t="s">
        <v>6</v>
      </c>
      <c r="I334" s="5">
        <v>-230</v>
      </c>
      <c r="J334" s="5">
        <v>324950</v>
      </c>
    </row>
    <row r="335" spans="1:10" x14ac:dyDescent="0.3">
      <c r="A335" s="11">
        <f t="shared" si="10"/>
        <v>45262</v>
      </c>
      <c r="B335" t="str">
        <f t="shared" si="11"/>
        <v>334ELECTRONIC WITHDRAWAL CRYONIX</v>
      </c>
      <c r="C335" t="str" cm="1">
        <f t="array" ref="C335">IFERROR(INDEX(Table1[Category],MATCH(B335,Table1[Unique ID Matches],0)),INDEX(Table2[Category],MATCH(TRUE,ISNUMBER(SEARCH(Table2[Unique ID Contains],B335)),0)))</f>
        <v>Other Operating Outflows</v>
      </c>
      <c r="D335" t="str">
        <f>INDEX('13 weeks CF'!$C$9:$C$59,MATCH(C335,'13 weeks CF'!$C$9:$C$59,0))</f>
        <v>Other Operating Outflows</v>
      </c>
      <c r="E335" s="3">
        <v>334</v>
      </c>
      <c r="F335" s="2">
        <v>45257</v>
      </c>
      <c r="G335" s="3" t="s">
        <v>5</v>
      </c>
      <c r="H335" s="4" t="s">
        <v>15</v>
      </c>
      <c r="I335" s="5">
        <v>-1270</v>
      </c>
      <c r="J335" s="5">
        <v>323680</v>
      </c>
    </row>
    <row r="336" spans="1:10" x14ac:dyDescent="0.3">
      <c r="A336" s="11">
        <f t="shared" si="10"/>
        <v>45262</v>
      </c>
      <c r="B336" t="str">
        <f t="shared" si="11"/>
        <v>335CHECK</v>
      </c>
      <c r="C336" t="str" cm="1">
        <f t="array" ref="C336">IFERROR(INDEX(Table1[Category],MATCH(B336,Table1[Unique ID Matches],0)),INDEX(Table2[Category],MATCH(TRUE,ISNUMBER(SEARCH(Table2[Unique ID Contains],B336)),0)))</f>
        <v>Payroll</v>
      </c>
      <c r="D336" t="str">
        <f>INDEX('13 weeks CF'!$C$9:$C$59,MATCH(C336,'13 weeks CF'!$C$9:$C$59,0))</f>
        <v>Payroll</v>
      </c>
      <c r="E336" s="3">
        <v>335</v>
      </c>
      <c r="F336" s="2">
        <v>45257</v>
      </c>
      <c r="G336" s="3">
        <v>79948</v>
      </c>
      <c r="H336" s="4" t="s">
        <v>7</v>
      </c>
      <c r="I336" s="5">
        <v>-1090</v>
      </c>
      <c r="J336" s="5">
        <v>322590</v>
      </c>
    </row>
    <row r="337" spans="1:10" x14ac:dyDescent="0.3">
      <c r="A337" s="11">
        <f t="shared" si="10"/>
        <v>45262</v>
      </c>
      <c r="B337" t="str">
        <f t="shared" si="11"/>
        <v>336CHECK</v>
      </c>
      <c r="C337" t="str" cm="1">
        <f t="array" ref="C337">IFERROR(INDEX(Table1[Category],MATCH(B337,Table1[Unique ID Matches],0)),INDEX(Table2[Category],MATCH(TRUE,ISNUMBER(SEARCH(Table2[Unique ID Contains],B337)),0)))</f>
        <v>Payroll</v>
      </c>
      <c r="D337" t="str">
        <f>INDEX('13 weeks CF'!$C$9:$C$59,MATCH(C337,'13 weeks CF'!$C$9:$C$59,0))</f>
        <v>Payroll</v>
      </c>
      <c r="E337" s="3">
        <v>336</v>
      </c>
      <c r="F337" s="2">
        <v>45257</v>
      </c>
      <c r="G337" s="3">
        <v>79969</v>
      </c>
      <c r="H337" s="4" t="s">
        <v>7</v>
      </c>
      <c r="I337" s="5">
        <v>-100</v>
      </c>
      <c r="J337" s="5">
        <v>322490</v>
      </c>
    </row>
    <row r="338" spans="1:10" x14ac:dyDescent="0.3">
      <c r="A338" s="11">
        <f t="shared" si="10"/>
        <v>45262</v>
      </c>
      <c r="B338" t="str">
        <f t="shared" si="11"/>
        <v>337CHECK</v>
      </c>
      <c r="C338" t="str" cm="1">
        <f t="array" ref="C338">IFERROR(INDEX(Table1[Category],MATCH(B338,Table1[Unique ID Matches],0)),INDEX(Table2[Category],MATCH(TRUE,ISNUMBER(SEARCH(Table2[Unique ID Contains],B338)),0)))</f>
        <v>Payroll</v>
      </c>
      <c r="D338" t="str">
        <f>INDEX('13 weeks CF'!$C$9:$C$59,MATCH(C338,'13 weeks CF'!$C$9:$C$59,0))</f>
        <v>Payroll</v>
      </c>
      <c r="E338" s="3">
        <v>337</v>
      </c>
      <c r="F338" s="2">
        <v>45257</v>
      </c>
      <c r="G338" s="3">
        <v>79976</v>
      </c>
      <c r="H338" s="4" t="s">
        <v>7</v>
      </c>
      <c r="I338" s="5">
        <v>-1320</v>
      </c>
      <c r="J338" s="5">
        <v>321170</v>
      </c>
    </row>
    <row r="339" spans="1:10" x14ac:dyDescent="0.3">
      <c r="A339" s="11">
        <f t="shared" si="10"/>
        <v>45262</v>
      </c>
      <c r="B339" t="str">
        <f t="shared" si="11"/>
        <v>338CHECK</v>
      </c>
      <c r="C339" t="str" cm="1">
        <f t="array" ref="C339">IFERROR(INDEX(Table1[Category],MATCH(B339,Table1[Unique ID Matches],0)),INDEX(Table2[Category],MATCH(TRUE,ISNUMBER(SEARCH(Table2[Unique ID Contains],B339)),0)))</f>
        <v>Payroll</v>
      </c>
      <c r="D339" t="str">
        <f>INDEX('13 weeks CF'!$C$9:$C$59,MATCH(C339,'13 weeks CF'!$C$9:$C$59,0))</f>
        <v>Payroll</v>
      </c>
      <c r="E339" s="3">
        <v>338</v>
      </c>
      <c r="F339" s="2">
        <v>45257</v>
      </c>
      <c r="G339" s="3">
        <v>79981</v>
      </c>
      <c r="H339" s="4" t="s">
        <v>7</v>
      </c>
      <c r="I339" s="5">
        <v>-960</v>
      </c>
      <c r="J339" s="5">
        <v>320210</v>
      </c>
    </row>
    <row r="340" spans="1:10" x14ac:dyDescent="0.3">
      <c r="A340" s="11">
        <f t="shared" si="10"/>
        <v>45262</v>
      </c>
      <c r="B340" t="str">
        <f t="shared" si="11"/>
        <v>339CHECK</v>
      </c>
      <c r="C340" t="str" cm="1">
        <f t="array" ref="C340">IFERROR(INDEX(Table1[Category],MATCH(B340,Table1[Unique ID Matches],0)),INDEX(Table2[Category],MATCH(TRUE,ISNUMBER(SEARCH(Table2[Unique ID Contains],B340)),0)))</f>
        <v>Payroll</v>
      </c>
      <c r="D340" t="str">
        <f>INDEX('13 weeks CF'!$C$9:$C$59,MATCH(C340,'13 weeks CF'!$C$9:$C$59,0))</f>
        <v>Payroll</v>
      </c>
      <c r="E340" s="3">
        <v>339</v>
      </c>
      <c r="F340" s="2">
        <v>45257</v>
      </c>
      <c r="G340" s="3">
        <v>79987</v>
      </c>
      <c r="H340" s="4" t="s">
        <v>7</v>
      </c>
      <c r="I340" s="5">
        <v>-800</v>
      </c>
      <c r="J340" s="5">
        <v>319410</v>
      </c>
    </row>
    <row r="341" spans="1:10" x14ac:dyDescent="0.3">
      <c r="A341" s="11">
        <f t="shared" si="10"/>
        <v>45262</v>
      </c>
      <c r="B341" t="str">
        <f t="shared" si="11"/>
        <v>340CHECK</v>
      </c>
      <c r="C341" t="str" cm="1">
        <f t="array" ref="C341">IFERROR(INDEX(Table1[Category],MATCH(B341,Table1[Unique ID Matches],0)),INDEX(Table2[Category],MATCH(TRUE,ISNUMBER(SEARCH(Table2[Unique ID Contains],B341)),0)))</f>
        <v>Payroll</v>
      </c>
      <c r="D341" t="str">
        <f>INDEX('13 weeks CF'!$C$9:$C$59,MATCH(C341,'13 weeks CF'!$C$9:$C$59,0))</f>
        <v>Payroll</v>
      </c>
      <c r="E341" s="3">
        <v>340</v>
      </c>
      <c r="F341" s="2">
        <v>45257</v>
      </c>
      <c r="G341" s="3">
        <v>79998</v>
      </c>
      <c r="H341" s="4" t="s">
        <v>7</v>
      </c>
      <c r="I341" s="5">
        <v>-1030</v>
      </c>
      <c r="J341" s="5">
        <v>318380</v>
      </c>
    </row>
    <row r="342" spans="1:10" x14ac:dyDescent="0.3">
      <c r="A342" s="11">
        <f t="shared" si="10"/>
        <v>45262</v>
      </c>
      <c r="B342" t="str">
        <f t="shared" si="11"/>
        <v>341DEPOSIT</v>
      </c>
      <c r="C342" t="str" cm="1">
        <f t="array" ref="C342">IFERROR(INDEX(Table1[Category],MATCH(B342,Table1[Unique ID Matches],0)),INDEX(Table2[Category],MATCH(TRUE,ISNUMBER(SEARCH(Table2[Unique ID Contains],B342)),0)))</f>
        <v>Invoiced AR + New Revenue</v>
      </c>
      <c r="D342" t="str">
        <f>INDEX('13 weeks CF'!$C$9:$C$59,MATCH(C342,'13 weeks CF'!$C$9:$C$59,0))</f>
        <v>Invoiced AR + New Revenue</v>
      </c>
      <c r="E342" s="3">
        <v>341</v>
      </c>
      <c r="F342" s="2">
        <v>45258</v>
      </c>
      <c r="G342" s="3" t="s">
        <v>8</v>
      </c>
      <c r="H342" s="4" t="s">
        <v>9</v>
      </c>
      <c r="I342" s="5">
        <v>36250</v>
      </c>
      <c r="J342" s="5">
        <v>354630</v>
      </c>
    </row>
    <row r="343" spans="1:10" x14ac:dyDescent="0.3">
      <c r="A343" s="11">
        <f t="shared" si="10"/>
        <v>45262</v>
      </c>
      <c r="B343" t="str">
        <f t="shared" si="11"/>
        <v>342ELECTRONIC WITHDRAWAL FRACTALIX</v>
      </c>
      <c r="C343" t="str" cm="1">
        <f t="array" ref="C343">IFERROR(INDEX(Table1[Category],MATCH(B343,Table1[Unique ID Matches],0)),INDEX(Table2[Category],MATCH(TRUE,ISNUMBER(SEARCH(Table2[Unique ID Contains],B343)),0)))</f>
        <v>Lease Payments</v>
      </c>
      <c r="D343" t="str">
        <f>INDEX('13 weeks CF'!$C$9:$C$59,MATCH(C343,'13 weeks CF'!$C$9:$C$59,0))</f>
        <v>Lease Payments</v>
      </c>
      <c r="E343" s="3">
        <v>342</v>
      </c>
      <c r="F343" s="2">
        <v>45258</v>
      </c>
      <c r="G343" s="3" t="s">
        <v>5</v>
      </c>
      <c r="H343" s="4" t="s">
        <v>14</v>
      </c>
      <c r="I343" s="5">
        <v>-1350</v>
      </c>
      <c r="J343" s="5">
        <v>353280</v>
      </c>
    </row>
    <row r="344" spans="1:10" x14ac:dyDescent="0.3">
      <c r="A344" s="11">
        <f t="shared" si="10"/>
        <v>45262</v>
      </c>
      <c r="B344" t="str">
        <f t="shared" si="11"/>
        <v>343ELECTRONIC WITHDRAWAL DISCOVER</v>
      </c>
      <c r="C344" t="str" cm="1">
        <f t="array" ref="C344">IFERROR(INDEX(Table1[Category],MATCH(B344,Table1[Unique ID Matches],0)),INDEX(Table2[Category],MATCH(TRUE,ISNUMBER(SEARCH(Table2[Unique ID Contains],B344)),0)))</f>
        <v>Credit Cards</v>
      </c>
      <c r="D344" t="str">
        <f>INDEX('13 weeks CF'!$C$9:$C$59,MATCH(C344,'13 weeks CF'!$C$9:$C$59,0))</f>
        <v>Credit Cards</v>
      </c>
      <c r="E344" s="3">
        <v>343</v>
      </c>
      <c r="F344" s="2">
        <v>45258</v>
      </c>
      <c r="G344" s="3" t="s">
        <v>5</v>
      </c>
      <c r="H344" s="4" t="s">
        <v>25</v>
      </c>
      <c r="I344" s="5">
        <v>-10000</v>
      </c>
      <c r="J344" s="5">
        <v>343280</v>
      </c>
    </row>
    <row r="345" spans="1:10" x14ac:dyDescent="0.3">
      <c r="A345" s="11">
        <f t="shared" si="10"/>
        <v>45262</v>
      </c>
      <c r="B345" t="str">
        <f t="shared" si="11"/>
        <v>344CHECK</v>
      </c>
      <c r="C345" t="str" cm="1">
        <f t="array" ref="C345">IFERROR(INDEX(Table1[Category],MATCH(B345,Table1[Unique ID Matches],0)),INDEX(Table2[Category],MATCH(TRUE,ISNUMBER(SEARCH(Table2[Unique ID Contains],B345)),0)))</f>
        <v>Payroll</v>
      </c>
      <c r="D345" t="str">
        <f>INDEX('13 weeks CF'!$C$9:$C$59,MATCH(C345,'13 weeks CF'!$C$9:$C$59,0))</f>
        <v>Payroll</v>
      </c>
      <c r="E345" s="3">
        <v>344</v>
      </c>
      <c r="F345" s="2">
        <v>45258</v>
      </c>
      <c r="G345" s="3">
        <v>79804</v>
      </c>
      <c r="H345" s="4" t="s">
        <v>7</v>
      </c>
      <c r="I345" s="5">
        <v>-120</v>
      </c>
      <c r="J345" s="5">
        <v>343160</v>
      </c>
    </row>
    <row r="346" spans="1:10" x14ac:dyDescent="0.3">
      <c r="A346" s="11">
        <f t="shared" si="10"/>
        <v>45262</v>
      </c>
      <c r="B346" t="str">
        <f t="shared" si="11"/>
        <v>345CHECK</v>
      </c>
      <c r="C346" t="str" cm="1">
        <f t="array" ref="C346">IFERROR(INDEX(Table1[Category],MATCH(B346,Table1[Unique ID Matches],0)),INDEX(Table2[Category],MATCH(TRUE,ISNUMBER(SEARCH(Table2[Unique ID Contains],B346)),0)))</f>
        <v>Accounts Payable</v>
      </c>
      <c r="D346" t="str">
        <f>INDEX('13 weeks CF'!$C$9:$C$59,MATCH(C346,'13 weeks CF'!$C$9:$C$59,0))</f>
        <v>Accounts Payable</v>
      </c>
      <c r="E346" s="3">
        <v>345</v>
      </c>
      <c r="F346" s="2">
        <v>45258</v>
      </c>
      <c r="G346" s="3">
        <v>80005</v>
      </c>
      <c r="H346" s="4" t="s">
        <v>7</v>
      </c>
      <c r="I346" s="5">
        <v>-88580</v>
      </c>
      <c r="J346" s="5">
        <v>254580</v>
      </c>
    </row>
    <row r="347" spans="1:10" x14ac:dyDescent="0.3">
      <c r="A347" s="11">
        <f t="shared" si="10"/>
        <v>45262</v>
      </c>
      <c r="B347" t="str">
        <f t="shared" si="11"/>
        <v>346ELECTRONIC DEPOSIT ZONIX</v>
      </c>
      <c r="C347" t="str" cm="1">
        <f t="array" ref="C347">IFERROR(INDEX(Table1[Category],MATCH(B347,Table1[Unique ID Matches],0)),INDEX(Table2[Category],MATCH(TRUE,ISNUMBER(SEARCH(Table2[Unique ID Contains],B347)),0)))</f>
        <v>Invoiced AR + New Revenue</v>
      </c>
      <c r="D347" t="str">
        <f>INDEX('13 weeks CF'!$C$9:$C$59,MATCH(C347,'13 weeks CF'!$C$9:$C$59,0))</f>
        <v>Invoiced AR + New Revenue</v>
      </c>
      <c r="E347" s="3">
        <v>346</v>
      </c>
      <c r="F347" s="2">
        <v>45259</v>
      </c>
      <c r="G347" s="3" t="s">
        <v>8</v>
      </c>
      <c r="H347" s="4" t="s">
        <v>17</v>
      </c>
      <c r="I347" s="5">
        <v>32190</v>
      </c>
      <c r="J347" s="5">
        <v>286770</v>
      </c>
    </row>
    <row r="348" spans="1:10" x14ac:dyDescent="0.3">
      <c r="A348" s="11">
        <f t="shared" si="10"/>
        <v>45262</v>
      </c>
      <c r="B348" t="str">
        <f t="shared" si="11"/>
        <v>347ELECTRONIC WITHDRAWAL HYPERTECH</v>
      </c>
      <c r="C348" t="str" cm="1">
        <f t="array" ref="C348">IFERROR(INDEX(Table1[Category],MATCH(B348,Table1[Unique ID Matches],0)),INDEX(Table2[Category],MATCH(TRUE,ISNUMBER(SEARCH(Table2[Unique ID Contains],B348)),0)))</f>
        <v>Marketing</v>
      </c>
      <c r="D348" t="str">
        <f>INDEX('13 weeks CF'!$C$9:$C$59,MATCH(C348,'13 weeks CF'!$C$9:$C$59,0))</f>
        <v>Marketing</v>
      </c>
      <c r="E348" s="3">
        <v>347</v>
      </c>
      <c r="F348" s="2">
        <v>45259</v>
      </c>
      <c r="G348" s="3" t="s">
        <v>5</v>
      </c>
      <c r="H348" s="4" t="s">
        <v>16</v>
      </c>
      <c r="I348" s="5">
        <v>-1510</v>
      </c>
      <c r="J348" s="5">
        <v>285260</v>
      </c>
    </row>
    <row r="349" spans="1:10" x14ac:dyDescent="0.3">
      <c r="A349" s="11">
        <f t="shared" si="10"/>
        <v>45262</v>
      </c>
      <c r="B349" t="str">
        <f t="shared" si="11"/>
        <v>348ELECTRONIC WITHDRAWAL IRS</v>
      </c>
      <c r="C349" t="str" cm="1">
        <f t="array" ref="C349">IFERROR(INDEX(Table1[Category],MATCH(B349,Table1[Unique ID Matches],0)),INDEX(Table2[Category],MATCH(TRUE,ISNUMBER(SEARCH(Table2[Unique ID Contains],B349)),0)))</f>
        <v>Tax Distributions</v>
      </c>
      <c r="D349" t="str">
        <f>INDEX('13 weeks CF'!$C$9:$C$59,MATCH(C349,'13 weeks CF'!$C$9:$C$59,0))</f>
        <v>Tax Distributions</v>
      </c>
      <c r="E349" s="3">
        <v>348</v>
      </c>
      <c r="F349" s="2">
        <v>45259</v>
      </c>
      <c r="G349" s="3" t="s">
        <v>5</v>
      </c>
      <c r="H349" s="4" t="s">
        <v>12</v>
      </c>
      <c r="I349" s="5">
        <v>-10270</v>
      </c>
      <c r="J349" s="5">
        <v>274990</v>
      </c>
    </row>
    <row r="350" spans="1:10" x14ac:dyDescent="0.3">
      <c r="A350" s="11">
        <f t="shared" si="10"/>
        <v>45262</v>
      </c>
      <c r="B350" t="str">
        <f t="shared" si="11"/>
        <v>349ELECTRONIC WITHDRAWAL STATE DEPT REVENUE</v>
      </c>
      <c r="C350" t="str" cm="1">
        <f t="array" ref="C350">IFERROR(INDEX(Table1[Category],MATCH(B350,Table1[Unique ID Matches],0)),INDEX(Table2[Category],MATCH(TRUE,ISNUMBER(SEARCH(Table2[Unique ID Contains],B350)),0)))</f>
        <v>Tax Distributions</v>
      </c>
      <c r="D350" t="str">
        <f>INDEX('13 weeks CF'!$C$9:$C$59,MATCH(C350,'13 weeks CF'!$C$9:$C$59,0))</f>
        <v>Tax Distributions</v>
      </c>
      <c r="E350" s="3">
        <v>349</v>
      </c>
      <c r="F350" s="2">
        <v>45260</v>
      </c>
      <c r="G350" s="3" t="s">
        <v>5</v>
      </c>
      <c r="H350" s="4" t="s">
        <v>11</v>
      </c>
      <c r="I350" s="5">
        <v>-2070</v>
      </c>
      <c r="J350" s="5">
        <v>272920</v>
      </c>
    </row>
    <row r="351" spans="1:10" x14ac:dyDescent="0.3">
      <c r="A351" s="11">
        <f t="shared" si="10"/>
        <v>45262</v>
      </c>
      <c r="B351" t="str">
        <f t="shared" si="11"/>
        <v>350ELECTRONIC WITHDRAWAL PAYROLL</v>
      </c>
      <c r="C351" t="str" cm="1">
        <f t="array" ref="C351">IFERROR(INDEX(Table1[Category],MATCH(B351,Table1[Unique ID Matches],0)),INDEX(Table2[Category],MATCH(TRUE,ISNUMBER(SEARCH(Table2[Unique ID Contains],B351)),0)))</f>
        <v>Payroll</v>
      </c>
      <c r="D351" t="str">
        <f>INDEX('13 weeks CF'!$C$9:$C$59,MATCH(C351,'13 weeks CF'!$C$9:$C$59,0))</f>
        <v>Payroll</v>
      </c>
      <c r="E351" s="3">
        <v>350</v>
      </c>
      <c r="F351" s="2">
        <v>45260</v>
      </c>
      <c r="G351" s="3" t="s">
        <v>5</v>
      </c>
      <c r="H351" s="4" t="s">
        <v>13</v>
      </c>
      <c r="I351" s="5">
        <v>-5570</v>
      </c>
      <c r="J351" s="5">
        <v>267350</v>
      </c>
    </row>
    <row r="352" spans="1:10" x14ac:dyDescent="0.3">
      <c r="A352" s="11">
        <f t="shared" si="10"/>
        <v>45262</v>
      </c>
      <c r="B352" t="str">
        <f t="shared" si="11"/>
        <v>351WEB AUTHORIZED PMT LUCENTIX</v>
      </c>
      <c r="C352" t="str" cm="1">
        <f t="array" ref="C352">IFERROR(INDEX(Table1[Category],MATCH(B352,Table1[Unique ID Matches],0)),INDEX(Table2[Category],MATCH(TRUE,ISNUMBER(SEARCH(Table2[Unique ID Contains],B352)),0)))</f>
        <v>Vehicles</v>
      </c>
      <c r="D352" t="str">
        <f>INDEX('13 weeks CF'!$C$9:$C$59,MATCH(C352,'13 weeks CF'!$C$9:$C$59,0))</f>
        <v>Vehicles</v>
      </c>
      <c r="E352" s="3">
        <v>351</v>
      </c>
      <c r="F352" s="2">
        <v>45260</v>
      </c>
      <c r="G352" s="3" t="s">
        <v>5</v>
      </c>
      <c r="H352" s="4" t="s">
        <v>18</v>
      </c>
      <c r="I352" s="5">
        <v>-5840</v>
      </c>
      <c r="J352" s="5">
        <v>261510</v>
      </c>
    </row>
    <row r="353" spans="1:10" x14ac:dyDescent="0.3">
      <c r="A353" s="11">
        <f t="shared" si="10"/>
        <v>45262</v>
      </c>
      <c r="B353" t="str">
        <f t="shared" si="11"/>
        <v>352CHECK</v>
      </c>
      <c r="C353" t="str" cm="1">
        <f t="array" ref="C353">IFERROR(INDEX(Table1[Category],MATCH(B353,Table1[Unique ID Matches],0)),INDEX(Table2[Category],MATCH(TRUE,ISNUMBER(SEARCH(Table2[Unique ID Contains],B353)),0)))</f>
        <v>Payroll</v>
      </c>
      <c r="D353" t="str">
        <f>INDEX('13 weeks CF'!$C$9:$C$59,MATCH(C353,'13 weeks CF'!$C$9:$C$59,0))</f>
        <v>Payroll</v>
      </c>
      <c r="E353" s="3">
        <v>352</v>
      </c>
      <c r="F353" s="2">
        <v>45260</v>
      </c>
      <c r="G353" s="3">
        <v>80001</v>
      </c>
      <c r="H353" s="4" t="s">
        <v>7</v>
      </c>
      <c r="I353" s="5">
        <v>-100</v>
      </c>
      <c r="J353" s="5">
        <v>261410</v>
      </c>
    </row>
    <row r="354" spans="1:10" x14ac:dyDescent="0.3">
      <c r="A354" s="11">
        <f t="shared" si="10"/>
        <v>45262</v>
      </c>
      <c r="B354" t="str">
        <f t="shared" si="11"/>
        <v>353CHECK</v>
      </c>
      <c r="C354" t="str" cm="1">
        <f t="array" ref="C354">IFERROR(INDEX(Table1[Category],MATCH(B354,Table1[Unique ID Matches],0)),INDEX(Table2[Category],MATCH(TRUE,ISNUMBER(SEARCH(Table2[Unique ID Contains],B354)),0)))</f>
        <v>Payroll</v>
      </c>
      <c r="D354" t="str">
        <f>INDEX('13 weeks CF'!$C$9:$C$59,MATCH(C354,'13 weeks CF'!$C$9:$C$59,0))</f>
        <v>Payroll</v>
      </c>
      <c r="E354" s="3">
        <v>353</v>
      </c>
      <c r="F354" s="2">
        <v>45260</v>
      </c>
      <c r="G354" s="3">
        <v>80007</v>
      </c>
      <c r="H354" s="4" t="s">
        <v>7</v>
      </c>
      <c r="I354" s="5">
        <v>-520</v>
      </c>
      <c r="J354" s="5">
        <v>260890</v>
      </c>
    </row>
    <row r="355" spans="1:10" x14ac:dyDescent="0.3">
      <c r="A355" s="11">
        <f t="shared" si="10"/>
        <v>45262</v>
      </c>
      <c r="B355" t="str">
        <f t="shared" si="11"/>
        <v>354ELECTRONIC WITHDRAWAL DISCOVER</v>
      </c>
      <c r="C355" t="str" cm="1">
        <f t="array" ref="C355">IFERROR(INDEX(Table1[Category],MATCH(B355,Table1[Unique ID Matches],0)),INDEX(Table2[Category],MATCH(TRUE,ISNUMBER(SEARCH(Table2[Unique ID Contains],B355)),0)))</f>
        <v>Credit Cards</v>
      </c>
      <c r="D355" t="str">
        <f>INDEX('13 weeks CF'!$C$9:$C$59,MATCH(C355,'13 weeks CF'!$C$9:$C$59,0))</f>
        <v>Credit Cards</v>
      </c>
      <c r="E355" s="3">
        <v>354</v>
      </c>
      <c r="F355" s="2">
        <v>45261</v>
      </c>
      <c r="G355" s="3" t="s">
        <v>5</v>
      </c>
      <c r="H355" s="4" t="s">
        <v>25</v>
      </c>
      <c r="I355" s="5">
        <v>-22000</v>
      </c>
      <c r="J355" s="5">
        <v>238890</v>
      </c>
    </row>
    <row r="356" spans="1:10" x14ac:dyDescent="0.3">
      <c r="A356" s="11">
        <f t="shared" si="10"/>
        <v>45262</v>
      </c>
      <c r="B356" t="str">
        <f t="shared" si="11"/>
        <v>355CHECK</v>
      </c>
      <c r="C356" t="str" cm="1">
        <f t="array" ref="C356">IFERROR(INDEX(Table1[Category],MATCH(B356,Table1[Unique ID Matches],0)),INDEX(Table2[Category],MATCH(TRUE,ISNUMBER(SEARCH(Table2[Unique ID Contains],B356)),0)))</f>
        <v>Payroll</v>
      </c>
      <c r="D356" t="str">
        <f>INDEX('13 weeks CF'!$C$9:$C$59,MATCH(C356,'13 weeks CF'!$C$9:$C$59,0))</f>
        <v>Payroll</v>
      </c>
      <c r="E356" s="3">
        <v>355</v>
      </c>
      <c r="F356" s="2">
        <v>45261</v>
      </c>
      <c r="G356" s="3">
        <v>79988</v>
      </c>
      <c r="H356" s="4" t="s">
        <v>7</v>
      </c>
      <c r="I356" s="5">
        <v>-1100</v>
      </c>
      <c r="J356" s="5">
        <v>237790</v>
      </c>
    </row>
    <row r="357" spans="1:10" x14ac:dyDescent="0.3">
      <c r="A357" s="11">
        <f t="shared" si="10"/>
        <v>45262</v>
      </c>
      <c r="B357" t="str">
        <f t="shared" si="11"/>
        <v>356CHECK</v>
      </c>
      <c r="C357" t="str" cm="1">
        <f t="array" ref="C357">IFERROR(INDEX(Table1[Category],MATCH(B357,Table1[Unique ID Matches],0)),INDEX(Table2[Category],MATCH(TRUE,ISNUMBER(SEARCH(Table2[Unique ID Contains],B357)),0)))</f>
        <v>Payroll</v>
      </c>
      <c r="D357" t="str">
        <f>INDEX('13 weeks CF'!$C$9:$C$59,MATCH(C357,'13 weeks CF'!$C$9:$C$59,0))</f>
        <v>Payroll</v>
      </c>
      <c r="E357" s="3">
        <v>356</v>
      </c>
      <c r="F357" s="2">
        <v>45261</v>
      </c>
      <c r="G357" s="3">
        <v>79989</v>
      </c>
      <c r="H357" s="4" t="s">
        <v>7</v>
      </c>
      <c r="I357" s="5">
        <v>-970</v>
      </c>
      <c r="J357" s="5">
        <v>236820</v>
      </c>
    </row>
    <row r="358" spans="1:10" x14ac:dyDescent="0.3">
      <c r="A358" s="11">
        <f t="shared" si="10"/>
        <v>45262</v>
      </c>
      <c r="B358" t="str">
        <f t="shared" si="11"/>
        <v>357CHECK</v>
      </c>
      <c r="C358" t="str" cm="1">
        <f t="array" ref="C358">IFERROR(INDEX(Table1[Category],MATCH(B358,Table1[Unique ID Matches],0)),INDEX(Table2[Category],MATCH(TRUE,ISNUMBER(SEARCH(Table2[Unique ID Contains],B358)),0)))</f>
        <v>Payroll</v>
      </c>
      <c r="D358" t="str">
        <f>INDEX('13 weeks CF'!$C$9:$C$59,MATCH(C358,'13 weeks CF'!$C$9:$C$59,0))</f>
        <v>Payroll</v>
      </c>
      <c r="E358" s="3">
        <v>357</v>
      </c>
      <c r="F358" s="2">
        <v>45261</v>
      </c>
      <c r="G358" s="3">
        <v>80008</v>
      </c>
      <c r="H358" s="4" t="s">
        <v>7</v>
      </c>
      <c r="I358" s="5">
        <v>-730</v>
      </c>
      <c r="J358" s="5">
        <v>236090</v>
      </c>
    </row>
    <row r="359" spans="1:10" x14ac:dyDescent="0.3">
      <c r="A359" s="11">
        <f t="shared" si="10"/>
        <v>45262</v>
      </c>
      <c r="B359" t="str">
        <f t="shared" si="11"/>
        <v>358CHECK</v>
      </c>
      <c r="C359" t="str" cm="1">
        <f t="array" ref="C359">IFERROR(INDEX(Table1[Category],MATCH(B359,Table1[Unique ID Matches],0)),INDEX(Table2[Category],MATCH(TRUE,ISNUMBER(SEARCH(Table2[Unique ID Contains],B359)),0)))</f>
        <v>Payroll</v>
      </c>
      <c r="D359" t="str">
        <f>INDEX('13 weeks CF'!$C$9:$C$59,MATCH(C359,'13 weeks CF'!$C$9:$C$59,0))</f>
        <v>Payroll</v>
      </c>
      <c r="E359" s="3">
        <v>358</v>
      </c>
      <c r="F359" s="2">
        <v>45261</v>
      </c>
      <c r="G359" s="3">
        <v>80009</v>
      </c>
      <c r="H359" s="4" t="s">
        <v>7</v>
      </c>
      <c r="I359" s="5">
        <v>-780</v>
      </c>
      <c r="J359" s="5">
        <v>235310</v>
      </c>
    </row>
    <row r="360" spans="1:10" x14ac:dyDescent="0.3">
      <c r="A360" s="11">
        <f t="shared" si="10"/>
        <v>45262</v>
      </c>
      <c r="B360" t="str">
        <f t="shared" si="11"/>
        <v>359CHECK</v>
      </c>
      <c r="C360" t="str" cm="1">
        <f t="array" ref="C360">IFERROR(INDEX(Table1[Category],MATCH(B360,Table1[Unique ID Matches],0)),INDEX(Table2[Category],MATCH(TRUE,ISNUMBER(SEARCH(Table2[Unique ID Contains],B360)),0)))</f>
        <v>Payroll</v>
      </c>
      <c r="D360" t="str">
        <f>INDEX('13 weeks CF'!$C$9:$C$59,MATCH(C360,'13 weeks CF'!$C$9:$C$59,0))</f>
        <v>Payroll</v>
      </c>
      <c r="E360" s="3">
        <v>359</v>
      </c>
      <c r="F360" s="2">
        <v>45261</v>
      </c>
      <c r="G360" s="3">
        <v>80010</v>
      </c>
      <c r="H360" s="4" t="s">
        <v>7</v>
      </c>
      <c r="I360" s="5">
        <v>-1880</v>
      </c>
      <c r="J360" s="5">
        <v>233430</v>
      </c>
    </row>
    <row r="361" spans="1:10" x14ac:dyDescent="0.3">
      <c r="A361" s="11">
        <f t="shared" si="10"/>
        <v>45262</v>
      </c>
      <c r="B361" t="str">
        <f t="shared" si="11"/>
        <v>360CHECK</v>
      </c>
      <c r="C361" t="str" cm="1">
        <f t="array" ref="C361">IFERROR(INDEX(Table1[Category],MATCH(B361,Table1[Unique ID Matches],0)),INDEX(Table2[Category],MATCH(TRUE,ISNUMBER(SEARCH(Table2[Unique ID Contains],B361)),0)))</f>
        <v>Payroll</v>
      </c>
      <c r="D361" t="str">
        <f>INDEX('13 weeks CF'!$C$9:$C$59,MATCH(C361,'13 weeks CF'!$C$9:$C$59,0))</f>
        <v>Payroll</v>
      </c>
      <c r="E361" s="3">
        <v>360</v>
      </c>
      <c r="F361" s="2">
        <v>45261</v>
      </c>
      <c r="G361" s="3">
        <v>80012</v>
      </c>
      <c r="H361" s="4" t="s">
        <v>7</v>
      </c>
      <c r="I361" s="5">
        <v>-690</v>
      </c>
      <c r="J361" s="5">
        <v>232740</v>
      </c>
    </row>
    <row r="362" spans="1:10" x14ac:dyDescent="0.3">
      <c r="A362" s="11">
        <f t="shared" si="10"/>
        <v>45262</v>
      </c>
      <c r="B362" t="str">
        <f t="shared" si="11"/>
        <v>361CHECK</v>
      </c>
      <c r="C362" t="str" cm="1">
        <f t="array" ref="C362">IFERROR(INDEX(Table1[Category],MATCH(B362,Table1[Unique ID Matches],0)),INDEX(Table2[Category],MATCH(TRUE,ISNUMBER(SEARCH(Table2[Unique ID Contains],B362)),0)))</f>
        <v>Payroll</v>
      </c>
      <c r="D362" t="str">
        <f>INDEX('13 weeks CF'!$C$9:$C$59,MATCH(C362,'13 weeks CF'!$C$9:$C$59,0))</f>
        <v>Payroll</v>
      </c>
      <c r="E362" s="3">
        <v>361</v>
      </c>
      <c r="F362" s="2">
        <v>45261</v>
      </c>
      <c r="G362" s="3">
        <v>80014</v>
      </c>
      <c r="H362" s="4" t="s">
        <v>7</v>
      </c>
      <c r="I362" s="5">
        <v>-1000</v>
      </c>
      <c r="J362" s="5">
        <v>231740</v>
      </c>
    </row>
    <row r="363" spans="1:10" x14ac:dyDescent="0.3">
      <c r="A363" s="11">
        <f t="shared" si="10"/>
        <v>45262</v>
      </c>
      <c r="B363" t="str">
        <f t="shared" si="11"/>
        <v>362CHECK</v>
      </c>
      <c r="C363" t="str" cm="1">
        <f t="array" ref="C363">IFERROR(INDEX(Table1[Category],MATCH(B363,Table1[Unique ID Matches],0)),INDEX(Table2[Category],MATCH(TRUE,ISNUMBER(SEARCH(Table2[Unique ID Contains],B363)),0)))</f>
        <v>Payroll</v>
      </c>
      <c r="D363" t="str">
        <f>INDEX('13 weeks CF'!$C$9:$C$59,MATCH(C363,'13 weeks CF'!$C$9:$C$59,0))</f>
        <v>Payroll</v>
      </c>
      <c r="E363" s="3">
        <v>362</v>
      </c>
      <c r="F363" s="2">
        <v>45261</v>
      </c>
      <c r="G363" s="3">
        <v>80015</v>
      </c>
      <c r="H363" s="4" t="s">
        <v>7</v>
      </c>
      <c r="I363" s="5">
        <v>-770</v>
      </c>
      <c r="J363" s="5">
        <v>230970</v>
      </c>
    </row>
    <row r="364" spans="1:10" x14ac:dyDescent="0.3">
      <c r="A364" s="11">
        <f t="shared" si="10"/>
        <v>45262</v>
      </c>
      <c r="B364" t="str">
        <f t="shared" si="11"/>
        <v>363CHECK</v>
      </c>
      <c r="C364" t="str" cm="1">
        <f t="array" ref="C364">IFERROR(INDEX(Table1[Category],MATCH(B364,Table1[Unique ID Matches],0)),INDEX(Table2[Category],MATCH(TRUE,ISNUMBER(SEARCH(Table2[Unique ID Contains],B364)),0)))</f>
        <v>Payroll</v>
      </c>
      <c r="D364" t="str">
        <f>INDEX('13 weeks CF'!$C$9:$C$59,MATCH(C364,'13 weeks CF'!$C$9:$C$59,0))</f>
        <v>Payroll</v>
      </c>
      <c r="E364" s="3">
        <v>363</v>
      </c>
      <c r="F364" s="2">
        <v>45261</v>
      </c>
      <c r="G364" s="3">
        <v>80018</v>
      </c>
      <c r="H364" s="4" t="s">
        <v>7</v>
      </c>
      <c r="I364" s="5">
        <v>-880</v>
      </c>
      <c r="J364" s="5">
        <v>230090</v>
      </c>
    </row>
    <row r="365" spans="1:10" x14ac:dyDescent="0.3">
      <c r="A365" s="11">
        <f t="shared" si="10"/>
        <v>45262</v>
      </c>
      <c r="B365" t="str">
        <f t="shared" si="11"/>
        <v>364CHECK</v>
      </c>
      <c r="C365" t="str" cm="1">
        <f t="array" ref="C365">IFERROR(INDEX(Table1[Category],MATCH(B365,Table1[Unique ID Matches],0)),INDEX(Table2[Category],MATCH(TRUE,ISNUMBER(SEARCH(Table2[Unique ID Contains],B365)),0)))</f>
        <v>Payroll</v>
      </c>
      <c r="D365" t="str">
        <f>INDEX('13 weeks CF'!$C$9:$C$59,MATCH(C365,'13 weeks CF'!$C$9:$C$59,0))</f>
        <v>Payroll</v>
      </c>
      <c r="E365" s="3">
        <v>364</v>
      </c>
      <c r="F365" s="2">
        <v>45261</v>
      </c>
      <c r="G365" s="3">
        <v>80019</v>
      </c>
      <c r="H365" s="4" t="s">
        <v>7</v>
      </c>
      <c r="I365" s="5">
        <v>-660</v>
      </c>
      <c r="J365" s="5">
        <v>229430</v>
      </c>
    </row>
    <row r="366" spans="1:10" x14ac:dyDescent="0.3">
      <c r="A366" s="11">
        <f t="shared" si="10"/>
        <v>45262</v>
      </c>
      <c r="B366" t="str">
        <f t="shared" si="11"/>
        <v>365CHECK</v>
      </c>
      <c r="C366" t="str" cm="1">
        <f t="array" ref="C366">IFERROR(INDEX(Table1[Category],MATCH(B366,Table1[Unique ID Matches],0)),INDEX(Table2[Category],MATCH(TRUE,ISNUMBER(SEARCH(Table2[Unique ID Contains],B366)),0)))</f>
        <v>Payroll</v>
      </c>
      <c r="D366" t="str">
        <f>INDEX('13 weeks CF'!$C$9:$C$59,MATCH(C366,'13 weeks CF'!$C$9:$C$59,0))</f>
        <v>Payroll</v>
      </c>
      <c r="E366" s="3">
        <v>365</v>
      </c>
      <c r="F366" s="2">
        <v>45261</v>
      </c>
      <c r="G366" s="3">
        <v>80020</v>
      </c>
      <c r="H366" s="4" t="s">
        <v>7</v>
      </c>
      <c r="I366" s="5">
        <v>-880</v>
      </c>
      <c r="J366" s="5">
        <v>228550</v>
      </c>
    </row>
    <row r="367" spans="1:10" x14ac:dyDescent="0.3">
      <c r="A367" s="11">
        <f t="shared" si="10"/>
        <v>45262</v>
      </c>
      <c r="B367" t="str">
        <f t="shared" si="11"/>
        <v>366CHECK</v>
      </c>
      <c r="C367" t="str" cm="1">
        <f t="array" ref="C367">IFERROR(INDEX(Table1[Category],MATCH(B367,Table1[Unique ID Matches],0)),INDEX(Table2[Category],MATCH(TRUE,ISNUMBER(SEARCH(Table2[Unique ID Contains],B367)),0)))</f>
        <v>Payroll</v>
      </c>
      <c r="D367" t="str">
        <f>INDEX('13 weeks CF'!$C$9:$C$59,MATCH(C367,'13 weeks CF'!$C$9:$C$59,0))</f>
        <v>Payroll</v>
      </c>
      <c r="E367" s="3">
        <v>366</v>
      </c>
      <c r="F367" s="2">
        <v>45261</v>
      </c>
      <c r="G367" s="3">
        <v>80021</v>
      </c>
      <c r="H367" s="4" t="s">
        <v>7</v>
      </c>
      <c r="I367" s="5">
        <v>-1120</v>
      </c>
      <c r="J367" s="5">
        <v>227430</v>
      </c>
    </row>
    <row r="368" spans="1:10" x14ac:dyDescent="0.3">
      <c r="A368" s="11">
        <f t="shared" si="10"/>
        <v>45262</v>
      </c>
      <c r="B368" t="str">
        <f t="shared" si="11"/>
        <v>367CHECK</v>
      </c>
      <c r="C368" t="str" cm="1">
        <f t="array" ref="C368">IFERROR(INDEX(Table1[Category],MATCH(B368,Table1[Unique ID Matches],0)),INDEX(Table2[Category],MATCH(TRUE,ISNUMBER(SEARCH(Table2[Unique ID Contains],B368)),0)))</f>
        <v>Payroll</v>
      </c>
      <c r="D368" t="str">
        <f>INDEX('13 weeks CF'!$C$9:$C$59,MATCH(C368,'13 weeks CF'!$C$9:$C$59,0))</f>
        <v>Payroll</v>
      </c>
      <c r="E368" s="3">
        <v>367</v>
      </c>
      <c r="F368" s="2">
        <v>45261</v>
      </c>
      <c r="G368" s="3">
        <v>80023</v>
      </c>
      <c r="H368" s="4" t="s">
        <v>7</v>
      </c>
      <c r="I368" s="5">
        <v>-1090</v>
      </c>
      <c r="J368" s="5">
        <v>226340</v>
      </c>
    </row>
    <row r="369" spans="1:10" x14ac:dyDescent="0.3">
      <c r="A369" s="11">
        <f t="shared" si="10"/>
        <v>45262</v>
      </c>
      <c r="B369" t="str">
        <f t="shared" si="11"/>
        <v>368CHECK</v>
      </c>
      <c r="C369" t="str" cm="1">
        <f t="array" ref="C369">IFERROR(INDEX(Table1[Category],MATCH(B369,Table1[Unique ID Matches],0)),INDEX(Table2[Category],MATCH(TRUE,ISNUMBER(SEARCH(Table2[Unique ID Contains],B369)),0)))</f>
        <v>Payroll</v>
      </c>
      <c r="D369" t="str">
        <f>INDEX('13 weeks CF'!$C$9:$C$59,MATCH(C369,'13 weeks CF'!$C$9:$C$59,0))</f>
        <v>Payroll</v>
      </c>
      <c r="E369" s="3">
        <v>368</v>
      </c>
      <c r="F369" s="2">
        <v>45261</v>
      </c>
      <c r="G369" s="3">
        <v>80024</v>
      </c>
      <c r="H369" s="4" t="s">
        <v>7</v>
      </c>
      <c r="I369" s="5">
        <v>-1000</v>
      </c>
      <c r="J369" s="5">
        <v>225340</v>
      </c>
    </row>
    <row r="370" spans="1:10" x14ac:dyDescent="0.3">
      <c r="A370" s="11">
        <f t="shared" si="10"/>
        <v>45262</v>
      </c>
      <c r="B370" t="str">
        <f t="shared" si="11"/>
        <v>369CHECK</v>
      </c>
      <c r="C370" t="str" cm="1">
        <f t="array" ref="C370">IFERROR(INDEX(Table1[Category],MATCH(B370,Table1[Unique ID Matches],0)),INDEX(Table2[Category],MATCH(TRUE,ISNUMBER(SEARCH(Table2[Unique ID Contains],B370)),0)))</f>
        <v>Payroll</v>
      </c>
      <c r="D370" t="str">
        <f>INDEX('13 weeks CF'!$C$9:$C$59,MATCH(C370,'13 weeks CF'!$C$9:$C$59,0))</f>
        <v>Payroll</v>
      </c>
      <c r="E370" s="3">
        <v>369</v>
      </c>
      <c r="F370" s="2">
        <v>45261</v>
      </c>
      <c r="G370" s="3">
        <v>80025</v>
      </c>
      <c r="H370" s="4" t="s">
        <v>7</v>
      </c>
      <c r="I370" s="5">
        <v>-160</v>
      </c>
      <c r="J370" s="5">
        <v>225180</v>
      </c>
    </row>
    <row r="371" spans="1:10" x14ac:dyDescent="0.3">
      <c r="A371" s="11">
        <f t="shared" si="10"/>
        <v>45262</v>
      </c>
      <c r="B371" t="str">
        <f t="shared" si="11"/>
        <v>370CHECK</v>
      </c>
      <c r="C371" t="str" cm="1">
        <f t="array" ref="C371">IFERROR(INDEX(Table1[Category],MATCH(B371,Table1[Unique ID Matches],0)),INDEX(Table2[Category],MATCH(TRUE,ISNUMBER(SEARCH(Table2[Unique ID Contains],B371)),0)))</f>
        <v>Payroll</v>
      </c>
      <c r="D371" t="str">
        <f>INDEX('13 weeks CF'!$C$9:$C$59,MATCH(C371,'13 weeks CF'!$C$9:$C$59,0))</f>
        <v>Payroll</v>
      </c>
      <c r="E371" s="3">
        <v>370</v>
      </c>
      <c r="F371" s="2">
        <v>45261</v>
      </c>
      <c r="G371" s="3">
        <v>80026</v>
      </c>
      <c r="H371" s="4" t="s">
        <v>7</v>
      </c>
      <c r="I371" s="5">
        <v>-710</v>
      </c>
      <c r="J371" s="5">
        <v>224470</v>
      </c>
    </row>
    <row r="372" spans="1:10" x14ac:dyDescent="0.3">
      <c r="A372" s="11">
        <f t="shared" si="10"/>
        <v>45262</v>
      </c>
      <c r="B372" t="str">
        <f t="shared" si="11"/>
        <v>371CHECK</v>
      </c>
      <c r="C372" t="str" cm="1">
        <f t="array" ref="C372">IFERROR(INDEX(Table1[Category],MATCH(B372,Table1[Unique ID Matches],0)),INDEX(Table2[Category],MATCH(TRUE,ISNUMBER(SEARCH(Table2[Unique ID Contains],B372)),0)))</f>
        <v>Payroll</v>
      </c>
      <c r="D372" t="str">
        <f>INDEX('13 weeks CF'!$C$9:$C$59,MATCH(C372,'13 weeks CF'!$C$9:$C$59,0))</f>
        <v>Payroll</v>
      </c>
      <c r="E372" s="3">
        <v>371</v>
      </c>
      <c r="F372" s="2">
        <v>45261</v>
      </c>
      <c r="G372" s="3">
        <v>80027</v>
      </c>
      <c r="H372" s="4" t="s">
        <v>7</v>
      </c>
      <c r="I372" s="5">
        <v>-690</v>
      </c>
      <c r="J372" s="5">
        <v>223780</v>
      </c>
    </row>
    <row r="373" spans="1:10" x14ac:dyDescent="0.3">
      <c r="A373" s="11">
        <f t="shared" si="10"/>
        <v>45262</v>
      </c>
      <c r="B373" t="str">
        <f t="shared" si="11"/>
        <v>372CHECK</v>
      </c>
      <c r="C373" t="str" cm="1">
        <f t="array" ref="C373">IFERROR(INDEX(Table1[Category],MATCH(B373,Table1[Unique ID Matches],0)),INDEX(Table2[Category],MATCH(TRUE,ISNUMBER(SEARCH(Table2[Unique ID Contains],B373)),0)))</f>
        <v>Payroll</v>
      </c>
      <c r="D373" t="str">
        <f>INDEX('13 weeks CF'!$C$9:$C$59,MATCH(C373,'13 weeks CF'!$C$9:$C$59,0))</f>
        <v>Payroll</v>
      </c>
      <c r="E373" s="3">
        <v>372</v>
      </c>
      <c r="F373" s="2">
        <v>45261</v>
      </c>
      <c r="G373" s="3">
        <v>80028</v>
      </c>
      <c r="H373" s="4" t="s">
        <v>7</v>
      </c>
      <c r="I373" s="5">
        <v>-730</v>
      </c>
      <c r="J373" s="5">
        <v>223050</v>
      </c>
    </row>
    <row r="374" spans="1:10" x14ac:dyDescent="0.3">
      <c r="A374" s="11">
        <f t="shared" si="10"/>
        <v>45262</v>
      </c>
      <c r="B374" t="str">
        <f t="shared" si="11"/>
        <v>373CHECK</v>
      </c>
      <c r="C374" t="str" cm="1">
        <f t="array" ref="C374">IFERROR(INDEX(Table1[Category],MATCH(B374,Table1[Unique ID Matches],0)),INDEX(Table2[Category],MATCH(TRUE,ISNUMBER(SEARCH(Table2[Unique ID Contains],B374)),0)))</f>
        <v>Payroll</v>
      </c>
      <c r="D374" t="str">
        <f>INDEX('13 weeks CF'!$C$9:$C$59,MATCH(C374,'13 weeks CF'!$C$9:$C$59,0))</f>
        <v>Payroll</v>
      </c>
      <c r="E374" s="3">
        <v>373</v>
      </c>
      <c r="F374" s="2">
        <v>45261</v>
      </c>
      <c r="G374" s="3">
        <v>80029</v>
      </c>
      <c r="H374" s="4" t="s">
        <v>7</v>
      </c>
      <c r="I374" s="5">
        <v>-690</v>
      </c>
      <c r="J374" s="5">
        <v>222360</v>
      </c>
    </row>
    <row r="375" spans="1:10" x14ac:dyDescent="0.3">
      <c r="A375" s="11">
        <f t="shared" si="10"/>
        <v>45262</v>
      </c>
      <c r="B375" t="str">
        <f t="shared" si="11"/>
        <v>374CHECK</v>
      </c>
      <c r="C375" t="str" cm="1">
        <f t="array" ref="C375">IFERROR(INDEX(Table1[Category],MATCH(B375,Table1[Unique ID Matches],0)),INDEX(Table2[Category],MATCH(TRUE,ISNUMBER(SEARCH(Table2[Unique ID Contains],B375)),0)))</f>
        <v>Payroll</v>
      </c>
      <c r="D375" t="str">
        <f>INDEX('13 weeks CF'!$C$9:$C$59,MATCH(C375,'13 weeks CF'!$C$9:$C$59,0))</f>
        <v>Payroll</v>
      </c>
      <c r="E375" s="3">
        <v>374</v>
      </c>
      <c r="F375" s="2">
        <v>45261</v>
      </c>
      <c r="G375" s="3">
        <v>80030</v>
      </c>
      <c r="H375" s="4" t="s">
        <v>7</v>
      </c>
      <c r="I375" s="5">
        <v>-2110</v>
      </c>
      <c r="J375" s="5">
        <v>220250</v>
      </c>
    </row>
    <row r="376" spans="1:10" x14ac:dyDescent="0.3">
      <c r="A376" s="11">
        <f t="shared" si="10"/>
        <v>45262</v>
      </c>
      <c r="B376" t="str">
        <f t="shared" si="11"/>
        <v>375CHECK</v>
      </c>
      <c r="C376" t="str" cm="1">
        <f t="array" ref="C376">IFERROR(INDEX(Table1[Category],MATCH(B376,Table1[Unique ID Matches],0)),INDEX(Table2[Category],MATCH(TRUE,ISNUMBER(SEARCH(Table2[Unique ID Contains],B376)),0)))</f>
        <v>Payroll</v>
      </c>
      <c r="D376" t="str">
        <f>INDEX('13 weeks CF'!$C$9:$C$59,MATCH(C376,'13 weeks CF'!$C$9:$C$59,0))</f>
        <v>Payroll</v>
      </c>
      <c r="E376" s="3">
        <v>375</v>
      </c>
      <c r="F376" s="2">
        <v>45261</v>
      </c>
      <c r="G376" s="3">
        <v>80032</v>
      </c>
      <c r="H376" s="4" t="s">
        <v>7</v>
      </c>
      <c r="I376" s="5">
        <v>-810</v>
      </c>
      <c r="J376" s="5">
        <v>219440</v>
      </c>
    </row>
    <row r="377" spans="1:10" x14ac:dyDescent="0.3">
      <c r="A377" s="11">
        <f t="shared" si="10"/>
        <v>45262</v>
      </c>
      <c r="B377" t="str">
        <f t="shared" si="11"/>
        <v>376CHECK</v>
      </c>
      <c r="C377" t="str" cm="1">
        <f t="array" ref="C377">IFERROR(INDEX(Table1[Category],MATCH(B377,Table1[Unique ID Matches],0)),INDEX(Table2[Category],MATCH(TRUE,ISNUMBER(SEARCH(Table2[Unique ID Contains],B377)),0)))</f>
        <v>Payroll</v>
      </c>
      <c r="D377" t="str">
        <f>INDEX('13 weeks CF'!$C$9:$C$59,MATCH(C377,'13 weeks CF'!$C$9:$C$59,0))</f>
        <v>Payroll</v>
      </c>
      <c r="E377" s="3">
        <v>376</v>
      </c>
      <c r="F377" s="2">
        <v>45261</v>
      </c>
      <c r="G377" s="3">
        <v>80033</v>
      </c>
      <c r="H377" s="4" t="s">
        <v>7</v>
      </c>
      <c r="I377" s="5">
        <v>-820</v>
      </c>
      <c r="J377" s="5">
        <v>218620</v>
      </c>
    </row>
    <row r="378" spans="1:10" x14ac:dyDescent="0.3">
      <c r="A378" s="11">
        <f t="shared" si="10"/>
        <v>45262</v>
      </c>
      <c r="B378" t="str">
        <f t="shared" si="11"/>
        <v>377CHECK</v>
      </c>
      <c r="C378" t="str" cm="1">
        <f t="array" ref="C378">IFERROR(INDEX(Table1[Category],MATCH(B378,Table1[Unique ID Matches],0)),INDEX(Table2[Category],MATCH(TRUE,ISNUMBER(SEARCH(Table2[Unique ID Contains],B378)),0)))</f>
        <v>Payroll</v>
      </c>
      <c r="D378" t="str">
        <f>INDEX('13 weeks CF'!$C$9:$C$59,MATCH(C378,'13 weeks CF'!$C$9:$C$59,0))</f>
        <v>Payroll</v>
      </c>
      <c r="E378" s="3">
        <v>377</v>
      </c>
      <c r="F378" s="2">
        <v>45261</v>
      </c>
      <c r="G378" s="3">
        <v>80034</v>
      </c>
      <c r="H378" s="4" t="s">
        <v>7</v>
      </c>
      <c r="I378" s="5">
        <v>-920</v>
      </c>
      <c r="J378" s="5">
        <v>217700</v>
      </c>
    </row>
    <row r="379" spans="1:10" x14ac:dyDescent="0.3">
      <c r="A379" s="11">
        <f t="shared" si="10"/>
        <v>45262</v>
      </c>
      <c r="B379" t="str">
        <f t="shared" si="11"/>
        <v>378CHECK</v>
      </c>
      <c r="C379" t="str" cm="1">
        <f t="array" ref="C379">IFERROR(INDEX(Table1[Category],MATCH(B379,Table1[Unique ID Matches],0)),INDEX(Table2[Category],MATCH(TRUE,ISNUMBER(SEARCH(Table2[Unique ID Contains],B379)),0)))</f>
        <v>Payroll</v>
      </c>
      <c r="D379" t="str">
        <f>INDEX('13 weeks CF'!$C$9:$C$59,MATCH(C379,'13 weeks CF'!$C$9:$C$59,0))</f>
        <v>Payroll</v>
      </c>
      <c r="E379" s="3">
        <v>378</v>
      </c>
      <c r="F379" s="2">
        <v>45261</v>
      </c>
      <c r="G379" s="3">
        <v>80035</v>
      </c>
      <c r="H379" s="4" t="s">
        <v>7</v>
      </c>
      <c r="I379" s="5">
        <v>-850</v>
      </c>
      <c r="J379" s="5">
        <v>216850</v>
      </c>
    </row>
    <row r="380" spans="1:10" x14ac:dyDescent="0.3">
      <c r="A380" s="11">
        <f t="shared" si="10"/>
        <v>45262</v>
      </c>
      <c r="B380" t="str">
        <f t="shared" si="11"/>
        <v>379CHECK</v>
      </c>
      <c r="C380" t="str" cm="1">
        <f t="array" ref="C380">IFERROR(INDEX(Table1[Category],MATCH(B380,Table1[Unique ID Matches],0)),INDEX(Table2[Category],MATCH(TRUE,ISNUMBER(SEARCH(Table2[Unique ID Contains],B380)),0)))</f>
        <v>Payroll</v>
      </c>
      <c r="D380" t="str">
        <f>INDEX('13 weeks CF'!$C$9:$C$59,MATCH(C380,'13 weeks CF'!$C$9:$C$59,0))</f>
        <v>Payroll</v>
      </c>
      <c r="E380" s="3">
        <v>379</v>
      </c>
      <c r="F380" s="2">
        <v>45261</v>
      </c>
      <c r="G380" s="3">
        <v>80036</v>
      </c>
      <c r="H380" s="4" t="s">
        <v>7</v>
      </c>
      <c r="I380" s="5">
        <v>-720</v>
      </c>
      <c r="J380" s="5">
        <v>216130</v>
      </c>
    </row>
    <row r="381" spans="1:10" x14ac:dyDescent="0.3">
      <c r="A381" s="11">
        <f t="shared" si="10"/>
        <v>45262</v>
      </c>
      <c r="B381" t="str">
        <f t="shared" si="11"/>
        <v>380CHECK</v>
      </c>
      <c r="C381" t="str" cm="1">
        <f t="array" ref="C381">IFERROR(INDEX(Table1[Category],MATCH(B381,Table1[Unique ID Matches],0)),INDEX(Table2[Category],MATCH(TRUE,ISNUMBER(SEARCH(Table2[Unique ID Contains],B381)),0)))</f>
        <v>Payroll</v>
      </c>
      <c r="D381" t="str">
        <f>INDEX('13 weeks CF'!$C$9:$C$59,MATCH(C381,'13 weeks CF'!$C$9:$C$59,0))</f>
        <v>Payroll</v>
      </c>
      <c r="E381" s="3">
        <v>380</v>
      </c>
      <c r="F381" s="2">
        <v>45261</v>
      </c>
      <c r="G381" s="3">
        <v>80037</v>
      </c>
      <c r="H381" s="4" t="s">
        <v>7</v>
      </c>
      <c r="I381" s="5">
        <v>-970</v>
      </c>
      <c r="J381" s="5">
        <v>215160</v>
      </c>
    </row>
    <row r="382" spans="1:10" x14ac:dyDescent="0.3">
      <c r="A382" s="11">
        <f t="shared" si="10"/>
        <v>45269</v>
      </c>
      <c r="B382" t="str">
        <f t="shared" si="11"/>
        <v>381DEPOSIT</v>
      </c>
      <c r="C382" t="str" cm="1">
        <f t="array" ref="C382">IFERROR(INDEX(Table1[Category],MATCH(B382,Table1[Unique ID Matches],0)),INDEX(Table2[Category],MATCH(TRUE,ISNUMBER(SEARCH(Table2[Unique ID Contains],B382)),0)))</f>
        <v>Invoiced AR + New Revenue</v>
      </c>
      <c r="D382" t="str">
        <f>INDEX('13 weeks CF'!$C$9:$C$59,MATCH(C382,'13 weeks CF'!$C$9:$C$59,0))</f>
        <v>Invoiced AR + New Revenue</v>
      </c>
      <c r="E382" s="3">
        <v>381</v>
      </c>
      <c r="F382" s="2">
        <v>45264</v>
      </c>
      <c r="G382" s="3" t="s">
        <v>8</v>
      </c>
      <c r="H382" s="4" t="s">
        <v>9</v>
      </c>
      <c r="I382" s="5">
        <v>123880</v>
      </c>
      <c r="J382" s="5">
        <v>339040</v>
      </c>
    </row>
    <row r="383" spans="1:10" x14ac:dyDescent="0.3">
      <c r="A383" s="11">
        <f t="shared" si="10"/>
        <v>45269</v>
      </c>
      <c r="B383" t="str">
        <f t="shared" si="11"/>
        <v>382WEB AUTHORIZED PMT KRYPTONIX</v>
      </c>
      <c r="C383" t="str" cm="1">
        <f t="array" ref="C383">IFERROR(INDEX(Table1[Category],MATCH(B383,Table1[Unique ID Matches],0)),INDEX(Table2[Category],MATCH(TRUE,ISNUMBER(SEARCH(Table2[Unique ID Contains],B383)),0)))</f>
        <v>Dues &amp; Subscriptions</v>
      </c>
      <c r="D383" t="str">
        <f>INDEX('13 weeks CF'!$C$9:$C$59,MATCH(C383,'13 weeks CF'!$C$9:$C$59,0))</f>
        <v>Dues &amp; Subscriptions</v>
      </c>
      <c r="E383" s="3">
        <v>382</v>
      </c>
      <c r="F383" s="2">
        <v>45264</v>
      </c>
      <c r="G383" s="3" t="s">
        <v>5</v>
      </c>
      <c r="H383" s="4" t="s">
        <v>6</v>
      </c>
      <c r="I383" s="5">
        <v>-80</v>
      </c>
      <c r="J383" s="5">
        <v>338960</v>
      </c>
    </row>
    <row r="384" spans="1:10" x14ac:dyDescent="0.3">
      <c r="A384" s="11">
        <f t="shared" si="10"/>
        <v>45269</v>
      </c>
      <c r="B384" t="str">
        <f t="shared" si="11"/>
        <v>383WEB AUTHORIZED PMT KRYPTONIX</v>
      </c>
      <c r="C384" t="str" cm="1">
        <f t="array" ref="C384">IFERROR(INDEX(Table1[Category],MATCH(B384,Table1[Unique ID Matches],0)),INDEX(Table2[Category],MATCH(TRUE,ISNUMBER(SEARCH(Table2[Unique ID Contains],B384)),0)))</f>
        <v>Dues &amp; Subscriptions</v>
      </c>
      <c r="D384" t="str">
        <f>INDEX('13 weeks CF'!$C$9:$C$59,MATCH(C384,'13 weeks CF'!$C$9:$C$59,0))</f>
        <v>Dues &amp; Subscriptions</v>
      </c>
      <c r="E384" s="3">
        <v>383</v>
      </c>
      <c r="F384" s="2">
        <v>45264</v>
      </c>
      <c r="G384" s="3" t="s">
        <v>5</v>
      </c>
      <c r="H384" s="4" t="s">
        <v>6</v>
      </c>
      <c r="I384" s="5">
        <v>-230</v>
      </c>
      <c r="J384" s="5">
        <v>338730</v>
      </c>
    </row>
    <row r="385" spans="1:10" x14ac:dyDescent="0.3">
      <c r="A385" s="11">
        <f t="shared" si="10"/>
        <v>45269</v>
      </c>
      <c r="B385" t="str">
        <f t="shared" si="11"/>
        <v>384ELECTRONIC WITHDRAWAL STATE DMV</v>
      </c>
      <c r="C385" t="str" cm="1">
        <f t="array" ref="C385">IFERROR(INDEX(Table1[Category],MATCH(B385,Table1[Unique ID Matches],0)),INDEX(Table2[Category],MATCH(TRUE,ISNUMBER(SEARCH(Table2[Unique ID Contains],B385)),0)))</f>
        <v>Vehicles</v>
      </c>
      <c r="D385" t="str">
        <f>INDEX('13 weeks CF'!$C$9:$C$59,MATCH(C385,'13 weeks CF'!$C$9:$C$59,0))</f>
        <v>Vehicles</v>
      </c>
      <c r="E385" s="3">
        <v>384</v>
      </c>
      <c r="F385" s="2">
        <v>45264</v>
      </c>
      <c r="G385" s="3" t="s">
        <v>5</v>
      </c>
      <c r="H385" s="4" t="s">
        <v>19</v>
      </c>
      <c r="I385" s="5">
        <v>-230</v>
      </c>
      <c r="J385" s="5">
        <v>338500</v>
      </c>
    </row>
    <row r="386" spans="1:10" x14ac:dyDescent="0.3">
      <c r="A386" s="11">
        <f t="shared" ref="A386:A432" si="12">F386+7-WEEKDAY(F386+7-7)</f>
        <v>45269</v>
      </c>
      <c r="B386" t="str">
        <f t="shared" ref="B386:B432" si="13">E386&amp;H386</f>
        <v>385ELECTRONIC WITHDRAWAL STATE DMV</v>
      </c>
      <c r="C386" t="str" cm="1">
        <f t="array" ref="C386">IFERROR(INDEX(Table1[Category],MATCH(B386,Table1[Unique ID Matches],0)),INDEX(Table2[Category],MATCH(TRUE,ISNUMBER(SEARCH(Table2[Unique ID Contains],B386)),0)))</f>
        <v>Vehicles</v>
      </c>
      <c r="D386" t="str">
        <f>INDEX('13 weeks CF'!$C$9:$C$59,MATCH(C386,'13 weeks CF'!$C$9:$C$59,0))</f>
        <v>Vehicles</v>
      </c>
      <c r="E386" s="3">
        <v>385</v>
      </c>
      <c r="F386" s="2">
        <v>45264</v>
      </c>
      <c r="G386" s="3" t="s">
        <v>5</v>
      </c>
      <c r="H386" s="4" t="s">
        <v>19</v>
      </c>
      <c r="I386" s="5">
        <v>-280</v>
      </c>
      <c r="J386" s="5">
        <v>338220</v>
      </c>
    </row>
    <row r="387" spans="1:10" x14ac:dyDescent="0.3">
      <c r="A387" s="11">
        <f t="shared" si="12"/>
        <v>45269</v>
      </c>
      <c r="B387" t="str">
        <f t="shared" si="13"/>
        <v>386ELECTRONIC WITHDRAWAL BLITZIX</v>
      </c>
      <c r="C387" t="str" cm="1">
        <f t="array" ref="C387">IFERROR(INDEX(Table1[Category],MATCH(B387,Table1[Unique ID Matches],0)),INDEX(Table2[Category],MATCH(TRUE,ISNUMBER(SEARCH(Table2[Unique ID Contains],B387)),0)))</f>
        <v>Other Operating Outflows</v>
      </c>
      <c r="D387" t="str">
        <f>INDEX('13 weeks CF'!$C$9:$C$59,MATCH(C387,'13 weeks CF'!$C$9:$C$59,0))</f>
        <v>Other Operating Outflows</v>
      </c>
      <c r="E387" s="3">
        <v>386</v>
      </c>
      <c r="F387" s="2">
        <v>45264</v>
      </c>
      <c r="G387" s="3" t="s">
        <v>5</v>
      </c>
      <c r="H387" s="4" t="s">
        <v>20</v>
      </c>
      <c r="I387" s="5">
        <v>-1580</v>
      </c>
      <c r="J387" s="5">
        <v>336640</v>
      </c>
    </row>
    <row r="388" spans="1:10" x14ac:dyDescent="0.3">
      <c r="A388" s="11">
        <f t="shared" si="12"/>
        <v>45269</v>
      </c>
      <c r="B388" t="str">
        <f t="shared" si="13"/>
        <v>387WEB AUTHORIZED PMT MERIDIANTECH</v>
      </c>
      <c r="C388" t="str" cm="1">
        <f t="array" ref="C388">IFERROR(INDEX(Table1[Category],MATCH(B388,Table1[Unique ID Matches],0)),INDEX(Table2[Category],MATCH(TRUE,ISNUMBER(SEARCH(Table2[Unique ID Contains],B388)),0)))</f>
        <v>Other Non-operating Outflows</v>
      </c>
      <c r="D388" t="str">
        <f>INDEX('13 weeks CF'!$C$9:$C$59,MATCH(C388,'13 weeks CF'!$C$9:$C$59,0))</f>
        <v>Other Non-operating Outflows</v>
      </c>
      <c r="E388" s="3">
        <v>387</v>
      </c>
      <c r="F388" s="2">
        <v>45264</v>
      </c>
      <c r="G388" s="3" t="s">
        <v>5</v>
      </c>
      <c r="H388" s="4" t="s">
        <v>263</v>
      </c>
      <c r="I388" s="5">
        <v>-3260</v>
      </c>
      <c r="J388" s="5">
        <v>333380</v>
      </c>
    </row>
    <row r="389" spans="1:10" x14ac:dyDescent="0.3">
      <c r="A389" s="11">
        <f t="shared" si="12"/>
        <v>45269</v>
      </c>
      <c r="B389" t="str">
        <f t="shared" si="13"/>
        <v>388ELECTRONIC WITHDRAWAL ETERNIX</v>
      </c>
      <c r="C389" t="str" cm="1">
        <f t="array" ref="C389">IFERROR(INDEX(Table1[Category],MATCH(B389,Table1[Unique ID Matches],0)),INDEX(Table2[Category],MATCH(TRUE,ISNUMBER(SEARCH(Table2[Unique ID Contains],B389)),0)))</f>
        <v>Professional Fees</v>
      </c>
      <c r="D389" t="str">
        <f>INDEX('13 weeks CF'!$C$9:$C$59,MATCH(C389,'13 weeks CF'!$C$9:$C$59,0))</f>
        <v>Professional Fees</v>
      </c>
      <c r="E389" s="3">
        <v>388</v>
      </c>
      <c r="F389" s="2">
        <v>45264</v>
      </c>
      <c r="G389" s="3" t="s">
        <v>5</v>
      </c>
      <c r="H389" s="4" t="s">
        <v>22</v>
      </c>
      <c r="I389" s="5">
        <v>-5000</v>
      </c>
      <c r="J389" s="5">
        <v>328380</v>
      </c>
    </row>
    <row r="390" spans="1:10" x14ac:dyDescent="0.3">
      <c r="A390" s="11">
        <f t="shared" si="12"/>
        <v>45269</v>
      </c>
      <c r="B390" t="str">
        <f t="shared" si="13"/>
        <v>389CHECK</v>
      </c>
      <c r="C390" t="str" cm="1">
        <f t="array" ref="C390">IFERROR(INDEX(Table1[Category],MATCH(B390,Table1[Unique ID Matches],0)),INDEX(Table2[Category],MATCH(TRUE,ISNUMBER(SEARCH(Table2[Unique ID Contains],B390)),0)))</f>
        <v>Payroll</v>
      </c>
      <c r="D390" t="str">
        <f>INDEX('13 weeks CF'!$C$9:$C$59,MATCH(C390,'13 weeks CF'!$C$9:$C$59,0))</f>
        <v>Payroll</v>
      </c>
      <c r="E390" s="3">
        <v>389</v>
      </c>
      <c r="F390" s="2">
        <v>45264</v>
      </c>
      <c r="G390" s="3">
        <v>80013</v>
      </c>
      <c r="H390" s="4" t="s">
        <v>7</v>
      </c>
      <c r="I390" s="5">
        <v>-860</v>
      </c>
      <c r="J390" s="5">
        <v>327520</v>
      </c>
    </row>
    <row r="391" spans="1:10" x14ac:dyDescent="0.3">
      <c r="A391" s="11">
        <f t="shared" si="12"/>
        <v>45269</v>
      </c>
      <c r="B391" t="str">
        <f t="shared" si="13"/>
        <v>390CHECK</v>
      </c>
      <c r="C391" t="str" cm="1">
        <f t="array" ref="C391">IFERROR(INDEX(Table1[Category],MATCH(B391,Table1[Unique ID Matches],0)),INDEX(Table2[Category],MATCH(TRUE,ISNUMBER(SEARCH(Table2[Unique ID Contains],B391)),0)))</f>
        <v>Payroll</v>
      </c>
      <c r="D391" t="str">
        <f>INDEX('13 weeks CF'!$C$9:$C$59,MATCH(C391,'13 weeks CF'!$C$9:$C$59,0))</f>
        <v>Payroll</v>
      </c>
      <c r="E391" s="3">
        <v>390</v>
      </c>
      <c r="F391" s="2">
        <v>45264</v>
      </c>
      <c r="G391" s="3">
        <v>80017</v>
      </c>
      <c r="H391" s="4" t="s">
        <v>7</v>
      </c>
      <c r="I391" s="5">
        <v>-700</v>
      </c>
      <c r="J391" s="5">
        <v>326820</v>
      </c>
    </row>
    <row r="392" spans="1:10" x14ac:dyDescent="0.3">
      <c r="A392" s="11">
        <f t="shared" si="12"/>
        <v>45269</v>
      </c>
      <c r="B392" t="str">
        <f t="shared" si="13"/>
        <v>391CHECK</v>
      </c>
      <c r="C392" t="str" cm="1">
        <f t="array" ref="C392">IFERROR(INDEX(Table1[Category],MATCH(B392,Table1[Unique ID Matches],0)),INDEX(Table2[Category],MATCH(TRUE,ISNUMBER(SEARCH(Table2[Unique ID Contains],B392)),0)))</f>
        <v>Payroll</v>
      </c>
      <c r="D392" t="str">
        <f>INDEX('13 weeks CF'!$C$9:$C$59,MATCH(C392,'13 weeks CF'!$C$9:$C$59,0))</f>
        <v>Payroll</v>
      </c>
      <c r="E392" s="3">
        <v>391</v>
      </c>
      <c r="F392" s="2">
        <v>45264</v>
      </c>
      <c r="G392" s="3">
        <v>80022</v>
      </c>
      <c r="H392" s="4" t="s">
        <v>7</v>
      </c>
      <c r="I392" s="5">
        <v>-750</v>
      </c>
      <c r="J392" s="5">
        <v>326070</v>
      </c>
    </row>
    <row r="393" spans="1:10" x14ac:dyDescent="0.3">
      <c r="A393" s="11">
        <f t="shared" si="12"/>
        <v>45269</v>
      </c>
      <c r="B393" t="str">
        <f t="shared" si="13"/>
        <v>392CHECK</v>
      </c>
      <c r="C393" t="str" cm="1">
        <f t="array" ref="C393">IFERROR(INDEX(Table1[Category],MATCH(B393,Table1[Unique ID Matches],0)),INDEX(Table2[Category],MATCH(TRUE,ISNUMBER(SEARCH(Table2[Unique ID Contains],B393)),0)))</f>
        <v>Payroll</v>
      </c>
      <c r="D393" t="str">
        <f>INDEX('13 weeks CF'!$C$9:$C$59,MATCH(C393,'13 weeks CF'!$C$9:$C$59,0))</f>
        <v>Payroll</v>
      </c>
      <c r="E393" s="3">
        <v>392</v>
      </c>
      <c r="F393" s="2">
        <v>45264</v>
      </c>
      <c r="G393" s="3">
        <v>80031</v>
      </c>
      <c r="H393" s="4" t="s">
        <v>7</v>
      </c>
      <c r="I393" s="5">
        <v>-750</v>
      </c>
      <c r="J393" s="5">
        <v>325320</v>
      </c>
    </row>
    <row r="394" spans="1:10" x14ac:dyDescent="0.3">
      <c r="A394" s="11">
        <f t="shared" si="12"/>
        <v>45269</v>
      </c>
      <c r="B394" t="str">
        <f t="shared" si="13"/>
        <v>393DEPOSIT</v>
      </c>
      <c r="C394" t="str" cm="1">
        <f t="array" ref="C394">IFERROR(INDEX(Table1[Category],MATCH(B394,Table1[Unique ID Matches],0)),INDEX(Table2[Category],MATCH(TRUE,ISNUMBER(SEARCH(Table2[Unique ID Contains],B394)),0)))</f>
        <v>Invoiced AR + New Revenue</v>
      </c>
      <c r="D394" t="str">
        <f>INDEX('13 weeks CF'!$C$9:$C$59,MATCH(C394,'13 weeks CF'!$C$9:$C$59,0))</f>
        <v>Invoiced AR + New Revenue</v>
      </c>
      <c r="E394" s="3">
        <v>393</v>
      </c>
      <c r="F394" s="2">
        <v>45265</v>
      </c>
      <c r="G394" s="3" t="s">
        <v>8</v>
      </c>
      <c r="H394" s="4" t="s">
        <v>9</v>
      </c>
      <c r="I394" s="5">
        <v>12740</v>
      </c>
      <c r="J394" s="5">
        <v>338060</v>
      </c>
    </row>
    <row r="395" spans="1:10" x14ac:dyDescent="0.3">
      <c r="A395" s="11">
        <f t="shared" si="12"/>
        <v>45269</v>
      </c>
      <c r="B395" t="str">
        <f t="shared" si="13"/>
        <v>394DEPOSIT</v>
      </c>
      <c r="C395" t="str" cm="1">
        <f t="array" ref="C395">IFERROR(INDEX(Table1[Category],MATCH(B395,Table1[Unique ID Matches],0)),INDEX(Table2[Category],MATCH(TRUE,ISNUMBER(SEARCH(Table2[Unique ID Contains],B395)),0)))</f>
        <v>Invoiced AR + New Revenue</v>
      </c>
      <c r="D395" t="str">
        <f>INDEX('13 weeks CF'!$C$9:$C$59,MATCH(C395,'13 weeks CF'!$C$9:$C$59,0))</f>
        <v>Invoiced AR + New Revenue</v>
      </c>
      <c r="E395" s="3">
        <v>394</v>
      </c>
      <c r="F395" s="2">
        <v>45265</v>
      </c>
      <c r="G395" s="3" t="s">
        <v>8</v>
      </c>
      <c r="H395" s="4" t="s">
        <v>9</v>
      </c>
      <c r="I395" s="5">
        <v>6130</v>
      </c>
      <c r="J395" s="5">
        <v>344190</v>
      </c>
    </row>
    <row r="396" spans="1:10" x14ac:dyDescent="0.3">
      <c r="A396" s="11">
        <f t="shared" si="12"/>
        <v>45269</v>
      </c>
      <c r="B396" t="str">
        <f t="shared" si="13"/>
        <v>395DEPOSIT</v>
      </c>
      <c r="C396" t="str" cm="1">
        <f t="array" ref="C396">IFERROR(INDEX(Table1[Category],MATCH(B396,Table1[Unique ID Matches],0)),INDEX(Table2[Category],MATCH(TRUE,ISNUMBER(SEARCH(Table2[Unique ID Contains],B396)),0)))</f>
        <v>Invoiced AR + New Revenue</v>
      </c>
      <c r="D396" t="str">
        <f>INDEX('13 weeks CF'!$C$9:$C$59,MATCH(C396,'13 weeks CF'!$C$9:$C$59,0))</f>
        <v>Invoiced AR + New Revenue</v>
      </c>
      <c r="E396" s="3">
        <v>395</v>
      </c>
      <c r="F396" s="2">
        <v>45265</v>
      </c>
      <c r="G396" s="3" t="s">
        <v>8</v>
      </c>
      <c r="H396" s="4" t="s">
        <v>9</v>
      </c>
      <c r="I396" s="5">
        <v>530</v>
      </c>
      <c r="J396" s="5">
        <v>344720</v>
      </c>
    </row>
    <row r="397" spans="1:10" x14ac:dyDescent="0.3">
      <c r="A397" s="11">
        <f t="shared" si="12"/>
        <v>45269</v>
      </c>
      <c r="B397" t="str">
        <f t="shared" si="13"/>
        <v>396ELECTRONIC WITHDRAWAL GLOWTECH</v>
      </c>
      <c r="C397" t="str" cm="1">
        <f t="array" ref="C397">IFERROR(INDEX(Table1[Category],MATCH(B397,Table1[Unique ID Matches],0)),INDEX(Table2[Category],MATCH(TRUE,ISNUMBER(SEARCH(Table2[Unique ID Contains],B397)),0)))</f>
        <v>Technology</v>
      </c>
      <c r="D397" t="str">
        <f>INDEX('13 weeks CF'!$C$9:$C$59,MATCH(C397,'13 weeks CF'!$C$9:$C$59,0))</f>
        <v>Technology</v>
      </c>
      <c r="E397" s="3">
        <v>396</v>
      </c>
      <c r="F397" s="2">
        <v>45265</v>
      </c>
      <c r="G397" s="3" t="s">
        <v>5</v>
      </c>
      <c r="H397" s="4" t="s">
        <v>10</v>
      </c>
      <c r="I397" s="5">
        <v>-860</v>
      </c>
      <c r="J397" s="5">
        <v>343860</v>
      </c>
    </row>
    <row r="398" spans="1:10" x14ac:dyDescent="0.3">
      <c r="A398" s="11">
        <f t="shared" si="12"/>
        <v>45269</v>
      </c>
      <c r="B398" t="str">
        <f t="shared" si="13"/>
        <v>397ELECTRONIC WITHDRAWAL CAPITALONE</v>
      </c>
      <c r="C398" t="str" cm="1">
        <f t="array" ref="C398">IFERROR(INDEX(Table1[Category],MATCH(B398,Table1[Unique ID Matches],0)),INDEX(Table2[Category],MATCH(TRUE,ISNUMBER(SEARCH(Table2[Unique ID Contains],B398)),0)))</f>
        <v>Credit Cards</v>
      </c>
      <c r="D398" t="str">
        <f>INDEX('13 weeks CF'!$C$9:$C$59,MATCH(C398,'13 weeks CF'!$C$9:$C$59,0))</f>
        <v>Credit Cards</v>
      </c>
      <c r="E398" s="3">
        <v>397</v>
      </c>
      <c r="F398" s="2">
        <v>45265</v>
      </c>
      <c r="G398" s="3" t="s">
        <v>5</v>
      </c>
      <c r="H398" s="4" t="s">
        <v>21</v>
      </c>
      <c r="I398" s="5">
        <v>-4890</v>
      </c>
      <c r="J398" s="5">
        <v>338970</v>
      </c>
    </row>
    <row r="399" spans="1:10" x14ac:dyDescent="0.3">
      <c r="A399" s="11">
        <f t="shared" si="12"/>
        <v>45269</v>
      </c>
      <c r="B399" t="str">
        <f t="shared" si="13"/>
        <v>398CHECK</v>
      </c>
      <c r="C399" t="str" cm="1">
        <f t="array" ref="C399">IFERROR(INDEX(Table1[Category],MATCH(B399,Table1[Unique ID Matches],0)),INDEX(Table2[Category],MATCH(TRUE,ISNUMBER(SEARCH(Table2[Unique ID Contains],B399)),0)))</f>
        <v>Payroll</v>
      </c>
      <c r="D399" t="str">
        <f>INDEX('13 weeks CF'!$C$9:$C$59,MATCH(C399,'13 weeks CF'!$C$9:$C$59,0))</f>
        <v>Payroll</v>
      </c>
      <c r="E399" s="3">
        <v>398</v>
      </c>
      <c r="F399" s="2">
        <v>45265</v>
      </c>
      <c r="G399" s="3">
        <v>79775</v>
      </c>
      <c r="H399" s="4" t="s">
        <v>7</v>
      </c>
      <c r="I399" s="5">
        <v>-2000</v>
      </c>
      <c r="J399" s="5">
        <v>336970</v>
      </c>
    </row>
    <row r="400" spans="1:10" x14ac:dyDescent="0.3">
      <c r="A400" s="11">
        <f t="shared" si="12"/>
        <v>45269</v>
      </c>
      <c r="B400" t="str">
        <f t="shared" si="13"/>
        <v>399CHECK</v>
      </c>
      <c r="C400" t="str" cm="1">
        <f t="array" ref="C400">IFERROR(INDEX(Table1[Category],MATCH(B400,Table1[Unique ID Matches],0)),INDEX(Table2[Category],MATCH(TRUE,ISNUMBER(SEARCH(Table2[Unique ID Contains],B400)),0)))</f>
        <v>Payroll</v>
      </c>
      <c r="D400" t="str">
        <f>INDEX('13 weeks CF'!$C$9:$C$59,MATCH(C400,'13 weeks CF'!$C$9:$C$59,0))</f>
        <v>Payroll</v>
      </c>
      <c r="E400" s="3">
        <v>399</v>
      </c>
      <c r="F400" s="2">
        <v>45265</v>
      </c>
      <c r="G400" s="3">
        <v>80041</v>
      </c>
      <c r="H400" s="4" t="s">
        <v>7</v>
      </c>
      <c r="I400" s="5">
        <v>-1610</v>
      </c>
      <c r="J400" s="5">
        <v>335360</v>
      </c>
    </row>
    <row r="401" spans="1:10" x14ac:dyDescent="0.3">
      <c r="A401" s="11">
        <f t="shared" si="12"/>
        <v>45269</v>
      </c>
      <c r="B401" t="str">
        <f t="shared" si="13"/>
        <v>400DEPOSIT</v>
      </c>
      <c r="C401" t="str" cm="1">
        <f t="array" ref="C401">IFERROR(INDEX(Table1[Category],MATCH(B401,Table1[Unique ID Matches],0)),INDEX(Table2[Category],MATCH(TRUE,ISNUMBER(SEARCH(Table2[Unique ID Contains],B401)),0)))</f>
        <v>Invoiced AR + New Revenue</v>
      </c>
      <c r="D401" t="str">
        <f>INDEX('13 weeks CF'!$C$9:$C$59,MATCH(C401,'13 weeks CF'!$C$9:$C$59,0))</f>
        <v>Invoiced AR + New Revenue</v>
      </c>
      <c r="E401" s="3">
        <v>400</v>
      </c>
      <c r="F401" s="2">
        <v>45266</v>
      </c>
      <c r="G401" s="3" t="s">
        <v>8</v>
      </c>
      <c r="H401" s="4" t="s">
        <v>9</v>
      </c>
      <c r="I401" s="5">
        <v>19000</v>
      </c>
      <c r="J401" s="5">
        <v>354360</v>
      </c>
    </row>
    <row r="402" spans="1:10" x14ac:dyDescent="0.3">
      <c r="A402" s="11">
        <f t="shared" si="12"/>
        <v>45269</v>
      </c>
      <c r="B402" t="str">
        <f t="shared" si="13"/>
        <v>401ELECTRONIC WITHDRAWAL STATE DEPT REVENUE</v>
      </c>
      <c r="C402" t="str" cm="1">
        <f t="array" ref="C402">IFERROR(INDEX(Table1[Category],MATCH(B402,Table1[Unique ID Matches],0)),INDEX(Table2[Category],MATCH(TRUE,ISNUMBER(SEARCH(Table2[Unique ID Contains],B402)),0)))</f>
        <v>Tax Distributions</v>
      </c>
      <c r="D402" t="str">
        <f>INDEX('13 weeks CF'!$C$9:$C$59,MATCH(C402,'13 weeks CF'!$C$9:$C$59,0))</f>
        <v>Tax Distributions</v>
      </c>
      <c r="E402" s="3">
        <v>401</v>
      </c>
      <c r="F402" s="2">
        <v>45266</v>
      </c>
      <c r="G402" s="3" t="s">
        <v>5</v>
      </c>
      <c r="H402" s="4" t="s">
        <v>11</v>
      </c>
      <c r="I402" s="5">
        <v>-1450</v>
      </c>
      <c r="J402" s="5">
        <v>352910</v>
      </c>
    </row>
    <row r="403" spans="1:10" x14ac:dyDescent="0.3">
      <c r="A403" s="11">
        <f t="shared" si="12"/>
        <v>45269</v>
      </c>
      <c r="B403" t="str">
        <f t="shared" si="13"/>
        <v>402ELECTRONIC WITHDRAWAL IRS</v>
      </c>
      <c r="C403" t="str" cm="1">
        <f t="array" ref="C403">IFERROR(INDEX(Table1[Category],MATCH(B403,Table1[Unique ID Matches],0)),INDEX(Table2[Category],MATCH(TRUE,ISNUMBER(SEARCH(Table2[Unique ID Contains],B403)),0)))</f>
        <v>Tax Distributions</v>
      </c>
      <c r="D403" t="str">
        <f>INDEX('13 weeks CF'!$C$9:$C$59,MATCH(C403,'13 weeks CF'!$C$9:$C$59,0))</f>
        <v>Tax Distributions</v>
      </c>
      <c r="E403" s="3">
        <v>402</v>
      </c>
      <c r="F403" s="2">
        <v>45266</v>
      </c>
      <c r="G403" s="3" t="s">
        <v>5</v>
      </c>
      <c r="H403" s="4" t="s">
        <v>12</v>
      </c>
      <c r="I403" s="5">
        <v>-7110</v>
      </c>
      <c r="J403" s="5">
        <v>345800</v>
      </c>
    </row>
    <row r="404" spans="1:10" x14ac:dyDescent="0.3">
      <c r="A404" s="11">
        <f t="shared" si="12"/>
        <v>45269</v>
      </c>
      <c r="B404" t="str">
        <f t="shared" si="13"/>
        <v>403ELECTRONIC WITHDRAWAL DISCOVER</v>
      </c>
      <c r="C404" t="str" cm="1">
        <f t="array" ref="C404">IFERROR(INDEX(Table1[Category],MATCH(B404,Table1[Unique ID Matches],0)),INDEX(Table2[Category],MATCH(TRUE,ISNUMBER(SEARCH(Table2[Unique ID Contains],B404)),0)))</f>
        <v>Credit Cards</v>
      </c>
      <c r="D404" t="str">
        <f>INDEX('13 weeks CF'!$C$9:$C$59,MATCH(C404,'13 weeks CF'!$C$9:$C$59,0))</f>
        <v>Credit Cards</v>
      </c>
      <c r="E404" s="3">
        <v>403</v>
      </c>
      <c r="F404" s="2">
        <v>45266</v>
      </c>
      <c r="G404" s="3" t="s">
        <v>5</v>
      </c>
      <c r="H404" s="4" t="s">
        <v>25</v>
      </c>
      <c r="I404" s="5">
        <v>-345320</v>
      </c>
      <c r="J404" s="5">
        <v>480</v>
      </c>
    </row>
    <row r="405" spans="1:10" x14ac:dyDescent="0.3">
      <c r="A405" s="11">
        <f t="shared" si="12"/>
        <v>45269</v>
      </c>
      <c r="B405" t="str">
        <f t="shared" si="13"/>
        <v>404CHECK</v>
      </c>
      <c r="C405" t="str" cm="1">
        <f t="array" ref="C405">IFERROR(INDEX(Table1[Category],MATCH(B405,Table1[Unique ID Matches],0)),INDEX(Table2[Category],MATCH(TRUE,ISNUMBER(SEARCH(Table2[Unique ID Contains],B405)),0)))</f>
        <v>Payroll</v>
      </c>
      <c r="D405" t="str">
        <f>INDEX('13 weeks CF'!$C$9:$C$59,MATCH(C405,'13 weeks CF'!$C$9:$C$59,0))</f>
        <v>Payroll</v>
      </c>
      <c r="E405" s="3">
        <v>404</v>
      </c>
      <c r="F405" s="2">
        <v>45266</v>
      </c>
      <c r="G405" s="3">
        <v>80016</v>
      </c>
      <c r="H405" s="4" t="s">
        <v>7</v>
      </c>
      <c r="I405" s="5">
        <v>-200</v>
      </c>
      <c r="J405" s="5">
        <v>280</v>
      </c>
    </row>
    <row r="406" spans="1:10" x14ac:dyDescent="0.3">
      <c r="A406" s="11">
        <f t="shared" si="12"/>
        <v>45269</v>
      </c>
      <c r="B406" t="str">
        <f t="shared" si="13"/>
        <v>405CHECK</v>
      </c>
      <c r="C406" t="str" cm="1">
        <f t="array" ref="C406">IFERROR(INDEX(Table1[Category],MATCH(B406,Table1[Unique ID Matches],0)),INDEX(Table2[Category],MATCH(TRUE,ISNUMBER(SEARCH(Table2[Unique ID Contains],B406)),0)))</f>
        <v>Payroll</v>
      </c>
      <c r="D406" t="str">
        <f>INDEX('13 weeks CF'!$C$9:$C$59,MATCH(C406,'13 weeks CF'!$C$9:$C$59,0))</f>
        <v>Payroll</v>
      </c>
      <c r="E406" s="3">
        <v>405</v>
      </c>
      <c r="F406" s="2">
        <v>45267</v>
      </c>
      <c r="G406" s="3">
        <v>80039</v>
      </c>
      <c r="H406" s="4" t="s">
        <v>7</v>
      </c>
      <c r="I406" s="5">
        <v>-100</v>
      </c>
      <c r="J406" s="5">
        <v>180</v>
      </c>
    </row>
    <row r="407" spans="1:10" x14ac:dyDescent="0.3">
      <c r="A407" s="11">
        <f t="shared" si="12"/>
        <v>45269</v>
      </c>
      <c r="B407" t="str">
        <f t="shared" si="13"/>
        <v>406DEPOSIT</v>
      </c>
      <c r="C407" t="str" cm="1">
        <f t="array" ref="C407">IFERROR(INDEX(Table1[Category],MATCH(B407,Table1[Unique ID Matches],0)),INDEX(Table2[Category],MATCH(TRUE,ISNUMBER(SEARCH(Table2[Unique ID Contains],B407)),0)))</f>
        <v>Invoiced AR + New Revenue</v>
      </c>
      <c r="D407" t="str">
        <f>INDEX('13 weeks CF'!$C$9:$C$59,MATCH(C407,'13 weeks CF'!$C$9:$C$59,0))</f>
        <v>Invoiced AR + New Revenue</v>
      </c>
      <c r="E407" s="3">
        <v>406</v>
      </c>
      <c r="F407" s="2">
        <v>45268</v>
      </c>
      <c r="G407" s="3" t="s">
        <v>8</v>
      </c>
      <c r="H407" s="4" t="s">
        <v>9</v>
      </c>
      <c r="I407" s="5">
        <v>227190</v>
      </c>
      <c r="J407" s="5">
        <v>227370</v>
      </c>
    </row>
    <row r="408" spans="1:10" x14ac:dyDescent="0.3">
      <c r="A408" s="11">
        <f t="shared" si="12"/>
        <v>45269</v>
      </c>
      <c r="B408" t="str">
        <f t="shared" si="13"/>
        <v>407CHECK</v>
      </c>
      <c r="C408" t="str" cm="1">
        <f t="array" ref="C408">IFERROR(INDEX(Table1[Category],MATCH(B408,Table1[Unique ID Matches],0)),INDEX(Table2[Category],MATCH(TRUE,ISNUMBER(SEARCH(Table2[Unique ID Contains],B408)),0)))</f>
        <v>Payroll</v>
      </c>
      <c r="D408" t="str">
        <f>INDEX('13 weeks CF'!$C$9:$C$59,MATCH(C408,'13 weeks CF'!$C$9:$C$59,0))</f>
        <v>Payroll</v>
      </c>
      <c r="E408" s="3">
        <v>407</v>
      </c>
      <c r="F408" s="2">
        <v>45268</v>
      </c>
      <c r="G408" s="3">
        <v>80045</v>
      </c>
      <c r="H408" s="4" t="s">
        <v>7</v>
      </c>
      <c r="I408" s="5">
        <v>-1060</v>
      </c>
      <c r="J408" s="5">
        <v>226310</v>
      </c>
    </row>
    <row r="409" spans="1:10" x14ac:dyDescent="0.3">
      <c r="A409" s="11">
        <f t="shared" si="12"/>
        <v>45269</v>
      </c>
      <c r="B409" t="str">
        <f t="shared" si="13"/>
        <v>408CHECK</v>
      </c>
      <c r="C409" t="str" cm="1">
        <f t="array" ref="C409">IFERROR(INDEX(Table1[Category],MATCH(B409,Table1[Unique ID Matches],0)),INDEX(Table2[Category],MATCH(TRUE,ISNUMBER(SEARCH(Table2[Unique ID Contains],B409)),0)))</f>
        <v>Payroll</v>
      </c>
      <c r="D409" t="str">
        <f>INDEX('13 weeks CF'!$C$9:$C$59,MATCH(C409,'13 weeks CF'!$C$9:$C$59,0))</f>
        <v>Payroll</v>
      </c>
      <c r="E409" s="3">
        <v>408</v>
      </c>
      <c r="F409" s="2">
        <v>45268</v>
      </c>
      <c r="G409" s="3">
        <v>80047</v>
      </c>
      <c r="H409" s="4" t="s">
        <v>7</v>
      </c>
      <c r="I409" s="5">
        <v>-1880</v>
      </c>
      <c r="J409" s="5">
        <v>224430</v>
      </c>
    </row>
    <row r="410" spans="1:10" x14ac:dyDescent="0.3">
      <c r="A410" s="11">
        <f t="shared" si="12"/>
        <v>45269</v>
      </c>
      <c r="B410" t="str">
        <f t="shared" si="13"/>
        <v>409CHECK</v>
      </c>
      <c r="C410" t="str" cm="1">
        <f t="array" ref="C410">IFERROR(INDEX(Table1[Category],MATCH(B410,Table1[Unique ID Matches],0)),INDEX(Table2[Category],MATCH(TRUE,ISNUMBER(SEARCH(Table2[Unique ID Contains],B410)),0)))</f>
        <v>Payroll</v>
      </c>
      <c r="D410" t="str">
        <f>INDEX('13 weeks CF'!$C$9:$C$59,MATCH(C410,'13 weeks CF'!$C$9:$C$59,0))</f>
        <v>Payroll</v>
      </c>
      <c r="E410" s="3">
        <v>409</v>
      </c>
      <c r="F410" s="2">
        <v>45268</v>
      </c>
      <c r="G410" s="3">
        <v>80049</v>
      </c>
      <c r="H410" s="4" t="s">
        <v>7</v>
      </c>
      <c r="I410" s="5">
        <v>-970</v>
      </c>
      <c r="J410" s="5">
        <v>223460</v>
      </c>
    </row>
    <row r="411" spans="1:10" x14ac:dyDescent="0.3">
      <c r="A411" s="11">
        <f t="shared" si="12"/>
        <v>45269</v>
      </c>
      <c r="B411" t="str">
        <f t="shared" si="13"/>
        <v>410CHECK</v>
      </c>
      <c r="C411" t="str" cm="1">
        <f t="array" ref="C411">IFERROR(INDEX(Table1[Category],MATCH(B411,Table1[Unique ID Matches],0)),INDEX(Table2[Category],MATCH(TRUE,ISNUMBER(SEARCH(Table2[Unique ID Contains],B411)),0)))</f>
        <v>Payroll</v>
      </c>
      <c r="D411" t="str">
        <f>INDEX('13 weeks CF'!$C$9:$C$59,MATCH(C411,'13 weeks CF'!$C$9:$C$59,0))</f>
        <v>Payroll</v>
      </c>
      <c r="E411" s="3">
        <v>410</v>
      </c>
      <c r="F411" s="2">
        <v>45268</v>
      </c>
      <c r="G411" s="3">
        <v>80050</v>
      </c>
      <c r="H411" s="4" t="s">
        <v>7</v>
      </c>
      <c r="I411" s="5">
        <v>-1130</v>
      </c>
      <c r="J411" s="5">
        <v>222330</v>
      </c>
    </row>
    <row r="412" spans="1:10" x14ac:dyDescent="0.3">
      <c r="A412" s="11">
        <f t="shared" si="12"/>
        <v>45269</v>
      </c>
      <c r="B412" t="str">
        <f t="shared" si="13"/>
        <v>411CHECK</v>
      </c>
      <c r="C412" t="str" cm="1">
        <f t="array" ref="C412">IFERROR(INDEX(Table1[Category],MATCH(B412,Table1[Unique ID Matches],0)),INDEX(Table2[Category],MATCH(TRUE,ISNUMBER(SEARCH(Table2[Unique ID Contains],B412)),0)))</f>
        <v>Payroll</v>
      </c>
      <c r="D412" t="str">
        <f>INDEX('13 weeks CF'!$C$9:$C$59,MATCH(C412,'13 weeks CF'!$C$9:$C$59,0))</f>
        <v>Payroll</v>
      </c>
      <c r="E412" s="3">
        <v>411</v>
      </c>
      <c r="F412" s="2">
        <v>45268</v>
      </c>
      <c r="G412" s="3">
        <v>80052</v>
      </c>
      <c r="H412" s="4" t="s">
        <v>7</v>
      </c>
      <c r="I412" s="5">
        <v>-790</v>
      </c>
      <c r="J412" s="5">
        <v>221540</v>
      </c>
    </row>
    <row r="413" spans="1:10" x14ac:dyDescent="0.3">
      <c r="A413" s="11">
        <f t="shared" si="12"/>
        <v>45269</v>
      </c>
      <c r="B413" t="str">
        <f t="shared" si="13"/>
        <v>412CHECK</v>
      </c>
      <c r="C413" t="str" cm="1">
        <f t="array" ref="C413">IFERROR(INDEX(Table1[Category],MATCH(B413,Table1[Unique ID Matches],0)),INDEX(Table2[Category],MATCH(TRUE,ISNUMBER(SEARCH(Table2[Unique ID Contains],B413)),0)))</f>
        <v>Payroll</v>
      </c>
      <c r="D413" t="str">
        <f>INDEX('13 weeks CF'!$C$9:$C$59,MATCH(C413,'13 weeks CF'!$C$9:$C$59,0))</f>
        <v>Payroll</v>
      </c>
      <c r="E413" s="3">
        <v>412</v>
      </c>
      <c r="F413" s="2">
        <v>45268</v>
      </c>
      <c r="G413" s="3">
        <v>80056</v>
      </c>
      <c r="H413" s="4" t="s">
        <v>7</v>
      </c>
      <c r="I413" s="5">
        <v>-1230</v>
      </c>
      <c r="J413" s="5">
        <v>220310</v>
      </c>
    </row>
    <row r="414" spans="1:10" x14ac:dyDescent="0.3">
      <c r="A414" s="11">
        <f t="shared" si="12"/>
        <v>45269</v>
      </c>
      <c r="B414" t="str">
        <f t="shared" si="13"/>
        <v>413CHECK</v>
      </c>
      <c r="C414" t="str" cm="1">
        <f t="array" ref="C414">IFERROR(INDEX(Table1[Category],MATCH(B414,Table1[Unique ID Matches],0)),INDEX(Table2[Category],MATCH(TRUE,ISNUMBER(SEARCH(Table2[Unique ID Contains],B414)),0)))</f>
        <v>Payroll</v>
      </c>
      <c r="D414" t="str">
        <f>INDEX('13 weeks CF'!$C$9:$C$59,MATCH(C414,'13 weeks CF'!$C$9:$C$59,0))</f>
        <v>Payroll</v>
      </c>
      <c r="E414" s="3">
        <v>413</v>
      </c>
      <c r="F414" s="2">
        <v>45268</v>
      </c>
      <c r="G414" s="3">
        <v>80057</v>
      </c>
      <c r="H414" s="4" t="s">
        <v>7</v>
      </c>
      <c r="I414" s="5">
        <v>-1520</v>
      </c>
      <c r="J414" s="5">
        <v>218790</v>
      </c>
    </row>
    <row r="415" spans="1:10" x14ac:dyDescent="0.3">
      <c r="A415" s="11">
        <f t="shared" si="12"/>
        <v>45269</v>
      </c>
      <c r="B415" t="str">
        <f t="shared" si="13"/>
        <v>414CHECK</v>
      </c>
      <c r="C415" t="str" cm="1">
        <f t="array" ref="C415">IFERROR(INDEX(Table1[Category],MATCH(B415,Table1[Unique ID Matches],0)),INDEX(Table2[Category],MATCH(TRUE,ISNUMBER(SEARCH(Table2[Unique ID Contains],B415)),0)))</f>
        <v>Payroll</v>
      </c>
      <c r="D415" t="str">
        <f>INDEX('13 weeks CF'!$C$9:$C$59,MATCH(C415,'13 weeks CF'!$C$9:$C$59,0))</f>
        <v>Payroll</v>
      </c>
      <c r="E415" s="3">
        <v>414</v>
      </c>
      <c r="F415" s="2">
        <v>45268</v>
      </c>
      <c r="G415" s="3">
        <v>80060</v>
      </c>
      <c r="H415" s="4" t="s">
        <v>7</v>
      </c>
      <c r="I415" s="5">
        <v>-1370</v>
      </c>
      <c r="J415" s="5">
        <v>217420</v>
      </c>
    </row>
    <row r="416" spans="1:10" x14ac:dyDescent="0.3">
      <c r="A416" s="11">
        <f t="shared" si="12"/>
        <v>45269</v>
      </c>
      <c r="B416" t="str">
        <f t="shared" si="13"/>
        <v>415CHECK</v>
      </c>
      <c r="C416" t="str" cm="1">
        <f t="array" ref="C416">IFERROR(INDEX(Table1[Category],MATCH(B416,Table1[Unique ID Matches],0)),INDEX(Table2[Category],MATCH(TRUE,ISNUMBER(SEARCH(Table2[Unique ID Contains],B416)),0)))</f>
        <v>Payroll</v>
      </c>
      <c r="D416" t="str">
        <f>INDEX('13 weeks CF'!$C$9:$C$59,MATCH(C416,'13 weeks CF'!$C$9:$C$59,0))</f>
        <v>Payroll</v>
      </c>
      <c r="E416" s="3">
        <v>415</v>
      </c>
      <c r="F416" s="2">
        <v>45268</v>
      </c>
      <c r="G416" s="3">
        <v>80061</v>
      </c>
      <c r="H416" s="4" t="s">
        <v>7</v>
      </c>
      <c r="I416" s="5">
        <v>-1060</v>
      </c>
      <c r="J416" s="5">
        <v>216360</v>
      </c>
    </row>
    <row r="417" spans="1:10" x14ac:dyDescent="0.3">
      <c r="A417" s="11">
        <f t="shared" si="12"/>
        <v>45269</v>
      </c>
      <c r="B417" t="str">
        <f t="shared" si="13"/>
        <v>416CHECK</v>
      </c>
      <c r="C417" t="str" cm="1">
        <f t="array" ref="C417">IFERROR(INDEX(Table1[Category],MATCH(B417,Table1[Unique ID Matches],0)),INDEX(Table2[Category],MATCH(TRUE,ISNUMBER(SEARCH(Table2[Unique ID Contains],B417)),0)))</f>
        <v>Payroll</v>
      </c>
      <c r="D417" t="str">
        <f>INDEX('13 weeks CF'!$C$9:$C$59,MATCH(C417,'13 weeks CF'!$C$9:$C$59,0))</f>
        <v>Payroll</v>
      </c>
      <c r="E417" s="3">
        <v>416</v>
      </c>
      <c r="F417" s="2">
        <v>45268</v>
      </c>
      <c r="G417" s="3">
        <v>80062</v>
      </c>
      <c r="H417" s="4" t="s">
        <v>7</v>
      </c>
      <c r="I417" s="5">
        <v>-970</v>
      </c>
      <c r="J417" s="5">
        <v>215390</v>
      </c>
    </row>
    <row r="418" spans="1:10" x14ac:dyDescent="0.3">
      <c r="A418" s="11">
        <f t="shared" si="12"/>
        <v>45269</v>
      </c>
      <c r="B418" t="str">
        <f t="shared" si="13"/>
        <v>417CHECK</v>
      </c>
      <c r="C418" t="str" cm="1">
        <f t="array" ref="C418">IFERROR(INDEX(Table1[Category],MATCH(B418,Table1[Unique ID Matches],0)),INDEX(Table2[Category],MATCH(TRUE,ISNUMBER(SEARCH(Table2[Unique ID Contains],B418)),0)))</f>
        <v>Payroll</v>
      </c>
      <c r="D418" t="str">
        <f>INDEX('13 weeks CF'!$C$9:$C$59,MATCH(C418,'13 weeks CF'!$C$9:$C$59,0))</f>
        <v>Payroll</v>
      </c>
      <c r="E418" s="3">
        <v>417</v>
      </c>
      <c r="F418" s="2">
        <v>45268</v>
      </c>
      <c r="G418" s="3">
        <v>80063</v>
      </c>
      <c r="H418" s="4" t="s">
        <v>7</v>
      </c>
      <c r="I418" s="5">
        <v>-970</v>
      </c>
      <c r="J418" s="5">
        <v>214420</v>
      </c>
    </row>
    <row r="419" spans="1:10" x14ac:dyDescent="0.3">
      <c r="A419" s="11">
        <f t="shared" si="12"/>
        <v>45269</v>
      </c>
      <c r="B419" t="str">
        <f t="shared" si="13"/>
        <v>418CHECK</v>
      </c>
      <c r="C419" t="str" cm="1">
        <f t="array" ref="C419">IFERROR(INDEX(Table1[Category],MATCH(B419,Table1[Unique ID Matches],0)),INDEX(Table2[Category],MATCH(TRUE,ISNUMBER(SEARCH(Table2[Unique ID Contains],B419)),0)))</f>
        <v>Payroll</v>
      </c>
      <c r="D419" t="str">
        <f>INDEX('13 weeks CF'!$C$9:$C$59,MATCH(C419,'13 weeks CF'!$C$9:$C$59,0))</f>
        <v>Payroll</v>
      </c>
      <c r="E419" s="3">
        <v>418</v>
      </c>
      <c r="F419" s="2">
        <v>45268</v>
      </c>
      <c r="G419" s="3">
        <v>80064</v>
      </c>
      <c r="H419" s="4" t="s">
        <v>7</v>
      </c>
      <c r="I419" s="5">
        <v>-1220</v>
      </c>
      <c r="J419" s="5">
        <v>213200</v>
      </c>
    </row>
    <row r="420" spans="1:10" x14ac:dyDescent="0.3">
      <c r="A420" s="11">
        <f t="shared" si="12"/>
        <v>45269</v>
      </c>
      <c r="B420" t="str">
        <f t="shared" si="13"/>
        <v>419CHECK</v>
      </c>
      <c r="C420" t="str" cm="1">
        <f t="array" ref="C420">IFERROR(INDEX(Table1[Category],MATCH(B420,Table1[Unique ID Matches],0)),INDEX(Table2[Category],MATCH(TRUE,ISNUMBER(SEARCH(Table2[Unique ID Contains],B420)),0)))</f>
        <v>Payroll</v>
      </c>
      <c r="D420" t="str">
        <f>INDEX('13 weeks CF'!$C$9:$C$59,MATCH(C420,'13 weeks CF'!$C$9:$C$59,0))</f>
        <v>Payroll</v>
      </c>
      <c r="E420" s="3">
        <v>419</v>
      </c>
      <c r="F420" s="2">
        <v>45268</v>
      </c>
      <c r="G420" s="3">
        <v>80065</v>
      </c>
      <c r="H420" s="4" t="s">
        <v>7</v>
      </c>
      <c r="I420" s="5">
        <v>-1600</v>
      </c>
      <c r="J420" s="5">
        <v>211600</v>
      </c>
    </row>
    <row r="421" spans="1:10" x14ac:dyDescent="0.3">
      <c r="A421" s="11">
        <f t="shared" si="12"/>
        <v>45269</v>
      </c>
      <c r="B421" t="str">
        <f t="shared" si="13"/>
        <v>420CHECK</v>
      </c>
      <c r="C421" t="str" cm="1">
        <f t="array" ref="C421">IFERROR(INDEX(Table1[Category],MATCH(B421,Table1[Unique ID Matches],0)),INDEX(Table2[Category],MATCH(TRUE,ISNUMBER(SEARCH(Table2[Unique ID Contains],B421)),0)))</f>
        <v>Payroll</v>
      </c>
      <c r="D421" t="str">
        <f>INDEX('13 weeks CF'!$C$9:$C$59,MATCH(C421,'13 weeks CF'!$C$9:$C$59,0))</f>
        <v>Payroll</v>
      </c>
      <c r="E421" s="3">
        <v>420</v>
      </c>
      <c r="F421" s="2">
        <v>45268</v>
      </c>
      <c r="G421" s="3">
        <v>80066</v>
      </c>
      <c r="H421" s="4" t="s">
        <v>7</v>
      </c>
      <c r="I421" s="5">
        <v>-740</v>
      </c>
      <c r="J421" s="5">
        <v>210860</v>
      </c>
    </row>
    <row r="422" spans="1:10" x14ac:dyDescent="0.3">
      <c r="A422" s="11">
        <f t="shared" si="12"/>
        <v>45269</v>
      </c>
      <c r="B422" t="str">
        <f t="shared" si="13"/>
        <v>421CHECK</v>
      </c>
      <c r="C422" t="str" cm="1">
        <f t="array" ref="C422">IFERROR(INDEX(Table1[Category],MATCH(B422,Table1[Unique ID Matches],0)),INDEX(Table2[Category],MATCH(TRUE,ISNUMBER(SEARCH(Table2[Unique ID Contains],B422)),0)))</f>
        <v>Payroll</v>
      </c>
      <c r="D422" t="str">
        <f>INDEX('13 weeks CF'!$C$9:$C$59,MATCH(C422,'13 weeks CF'!$C$9:$C$59,0))</f>
        <v>Payroll</v>
      </c>
      <c r="E422" s="3">
        <v>421</v>
      </c>
      <c r="F422" s="2">
        <v>45268</v>
      </c>
      <c r="G422" s="3">
        <v>80067</v>
      </c>
      <c r="H422" s="4" t="s">
        <v>7</v>
      </c>
      <c r="I422" s="5">
        <v>-1120</v>
      </c>
      <c r="J422" s="5">
        <v>209740</v>
      </c>
    </row>
    <row r="423" spans="1:10" x14ac:dyDescent="0.3">
      <c r="A423" s="11">
        <f t="shared" si="12"/>
        <v>45269</v>
      </c>
      <c r="B423" t="str">
        <f t="shared" si="13"/>
        <v>422CHECK</v>
      </c>
      <c r="C423" t="str" cm="1">
        <f t="array" ref="C423">IFERROR(INDEX(Table1[Category],MATCH(B423,Table1[Unique ID Matches],0)),INDEX(Table2[Category],MATCH(TRUE,ISNUMBER(SEARCH(Table2[Unique ID Contains],B423)),0)))</f>
        <v>Payroll</v>
      </c>
      <c r="D423" t="str">
        <f>INDEX('13 weeks CF'!$C$9:$C$59,MATCH(C423,'13 weeks CF'!$C$9:$C$59,0))</f>
        <v>Payroll</v>
      </c>
      <c r="E423" s="3">
        <v>422</v>
      </c>
      <c r="F423" s="2">
        <v>45268</v>
      </c>
      <c r="G423" s="3">
        <v>80068</v>
      </c>
      <c r="H423" s="4" t="s">
        <v>7</v>
      </c>
      <c r="I423" s="5">
        <v>-1130</v>
      </c>
      <c r="J423" s="5">
        <v>208610</v>
      </c>
    </row>
    <row r="424" spans="1:10" x14ac:dyDescent="0.3">
      <c r="A424" s="11">
        <f t="shared" si="12"/>
        <v>45269</v>
      </c>
      <c r="B424" t="str">
        <f t="shared" si="13"/>
        <v>423CHECK</v>
      </c>
      <c r="C424" t="str" cm="1">
        <f t="array" ref="C424">IFERROR(INDEX(Table1[Category],MATCH(B424,Table1[Unique ID Matches],0)),INDEX(Table2[Category],MATCH(TRUE,ISNUMBER(SEARCH(Table2[Unique ID Contains],B424)),0)))</f>
        <v>Payroll</v>
      </c>
      <c r="D424" t="str">
        <f>INDEX('13 weeks CF'!$C$9:$C$59,MATCH(C424,'13 weeks CF'!$C$9:$C$59,0))</f>
        <v>Payroll</v>
      </c>
      <c r="E424" s="3">
        <v>423</v>
      </c>
      <c r="F424" s="2">
        <v>45268</v>
      </c>
      <c r="G424" s="3">
        <v>80069</v>
      </c>
      <c r="H424" s="4" t="s">
        <v>7</v>
      </c>
      <c r="I424" s="5">
        <v>-1270</v>
      </c>
      <c r="J424" s="5">
        <v>207340</v>
      </c>
    </row>
    <row r="425" spans="1:10" x14ac:dyDescent="0.3">
      <c r="A425" s="11">
        <f t="shared" si="12"/>
        <v>45269</v>
      </c>
      <c r="B425" t="str">
        <f t="shared" si="13"/>
        <v>424CHECK</v>
      </c>
      <c r="C425" t="str" cm="1">
        <f t="array" ref="C425">IFERROR(INDEX(Table1[Category],MATCH(B425,Table1[Unique ID Matches],0)),INDEX(Table2[Category],MATCH(TRUE,ISNUMBER(SEARCH(Table2[Unique ID Contains],B425)),0)))</f>
        <v>Payroll</v>
      </c>
      <c r="D425" t="str">
        <f>INDEX('13 weeks CF'!$C$9:$C$59,MATCH(C425,'13 weeks CF'!$C$9:$C$59,0))</f>
        <v>Payroll</v>
      </c>
      <c r="E425" s="3">
        <v>424</v>
      </c>
      <c r="F425" s="2">
        <v>45268</v>
      </c>
      <c r="G425" s="3">
        <v>80070</v>
      </c>
      <c r="H425" s="4" t="s">
        <v>7</v>
      </c>
      <c r="I425" s="5">
        <v>-1160</v>
      </c>
      <c r="J425" s="5">
        <v>206180</v>
      </c>
    </row>
    <row r="426" spans="1:10" x14ac:dyDescent="0.3">
      <c r="A426" s="11">
        <f t="shared" si="12"/>
        <v>45269</v>
      </c>
      <c r="B426" t="str">
        <f t="shared" si="13"/>
        <v>425CHECK</v>
      </c>
      <c r="C426" t="str" cm="1">
        <f t="array" ref="C426">IFERROR(INDEX(Table1[Category],MATCH(B426,Table1[Unique ID Matches],0)),INDEX(Table2[Category],MATCH(TRUE,ISNUMBER(SEARCH(Table2[Unique ID Contains],B426)),0)))</f>
        <v>Payroll</v>
      </c>
      <c r="D426" t="str">
        <f>INDEX('13 weeks CF'!$C$9:$C$59,MATCH(C426,'13 weeks CF'!$C$9:$C$59,0))</f>
        <v>Payroll</v>
      </c>
      <c r="E426" s="3">
        <v>425</v>
      </c>
      <c r="F426" s="2">
        <v>45268</v>
      </c>
      <c r="G426" s="3">
        <v>80071</v>
      </c>
      <c r="H426" s="4" t="s">
        <v>7</v>
      </c>
      <c r="I426" s="5">
        <v>-1070</v>
      </c>
      <c r="J426" s="5">
        <v>205110</v>
      </c>
    </row>
    <row r="427" spans="1:10" x14ac:dyDescent="0.3">
      <c r="A427" s="11">
        <f t="shared" si="12"/>
        <v>45269</v>
      </c>
      <c r="B427" t="str">
        <f t="shared" si="13"/>
        <v>426CHECK</v>
      </c>
      <c r="C427" t="str" cm="1">
        <f t="array" ref="C427">IFERROR(INDEX(Table1[Category],MATCH(B427,Table1[Unique ID Matches],0)),INDEX(Table2[Category],MATCH(TRUE,ISNUMBER(SEARCH(Table2[Unique ID Contains],B427)),0)))</f>
        <v>Payroll</v>
      </c>
      <c r="D427" t="str">
        <f>INDEX('13 weeks CF'!$C$9:$C$59,MATCH(C427,'13 weeks CF'!$C$9:$C$59,0))</f>
        <v>Payroll</v>
      </c>
      <c r="E427" s="3">
        <v>426</v>
      </c>
      <c r="F427" s="2">
        <v>45268</v>
      </c>
      <c r="G427" s="3">
        <v>80073</v>
      </c>
      <c r="H427" s="4" t="s">
        <v>7</v>
      </c>
      <c r="I427" s="5">
        <v>-1230</v>
      </c>
      <c r="J427" s="5">
        <v>203880</v>
      </c>
    </row>
    <row r="428" spans="1:10" x14ac:dyDescent="0.3">
      <c r="A428" s="11">
        <f t="shared" si="12"/>
        <v>45269</v>
      </c>
      <c r="B428" t="str">
        <f t="shared" si="13"/>
        <v>427CHECK</v>
      </c>
      <c r="C428" t="str" cm="1">
        <f t="array" ref="C428">IFERROR(INDEX(Table1[Category],MATCH(B428,Table1[Unique ID Matches],0)),INDEX(Table2[Category],MATCH(TRUE,ISNUMBER(SEARCH(Table2[Unique ID Contains],B428)),0)))</f>
        <v>Payroll</v>
      </c>
      <c r="D428" t="str">
        <f>INDEX('13 weeks CF'!$C$9:$C$59,MATCH(C428,'13 weeks CF'!$C$9:$C$59,0))</f>
        <v>Payroll</v>
      </c>
      <c r="E428" s="3">
        <v>427</v>
      </c>
      <c r="F428" s="2">
        <v>45268</v>
      </c>
      <c r="G428" s="3">
        <v>80074</v>
      </c>
      <c r="H428" s="4" t="s">
        <v>7</v>
      </c>
      <c r="I428" s="5">
        <v>-1160</v>
      </c>
      <c r="J428" s="5">
        <v>202720</v>
      </c>
    </row>
    <row r="429" spans="1:10" x14ac:dyDescent="0.3">
      <c r="A429" s="11">
        <f t="shared" si="12"/>
        <v>45269</v>
      </c>
      <c r="B429" t="str">
        <f t="shared" si="13"/>
        <v>428CHECK</v>
      </c>
      <c r="C429" t="str" cm="1">
        <f t="array" ref="C429">IFERROR(INDEX(Table1[Category],MATCH(B429,Table1[Unique ID Matches],0)),INDEX(Table2[Category],MATCH(TRUE,ISNUMBER(SEARCH(Table2[Unique ID Contains],B429)),0)))</f>
        <v>Payroll</v>
      </c>
      <c r="D429" t="str">
        <f>INDEX('13 weeks CF'!$C$9:$C$59,MATCH(C429,'13 weeks CF'!$C$9:$C$59,0))</f>
        <v>Payroll</v>
      </c>
      <c r="E429" s="3">
        <v>428</v>
      </c>
      <c r="F429" s="2">
        <v>45268</v>
      </c>
      <c r="G429" s="3">
        <v>80075</v>
      </c>
      <c r="H429" s="4" t="s">
        <v>7</v>
      </c>
      <c r="I429" s="5">
        <v>-1370</v>
      </c>
      <c r="J429" s="5">
        <v>201350</v>
      </c>
    </row>
    <row r="430" spans="1:10" x14ac:dyDescent="0.3">
      <c r="A430" s="11">
        <f t="shared" si="12"/>
        <v>45269</v>
      </c>
      <c r="B430" t="str">
        <f t="shared" si="13"/>
        <v>429CHECK</v>
      </c>
      <c r="C430" t="str" cm="1">
        <f t="array" ref="C430">IFERROR(INDEX(Table1[Category],MATCH(B430,Table1[Unique ID Matches],0)),INDEX(Table2[Category],MATCH(TRUE,ISNUMBER(SEARCH(Table2[Unique ID Contains],B430)),0)))</f>
        <v>Payroll</v>
      </c>
      <c r="D430" t="str">
        <f>INDEX('13 weeks CF'!$C$9:$C$59,MATCH(C430,'13 weeks CF'!$C$9:$C$59,0))</f>
        <v>Payroll</v>
      </c>
      <c r="E430" s="3">
        <v>429</v>
      </c>
      <c r="F430" s="2">
        <v>45268</v>
      </c>
      <c r="G430" s="3">
        <v>80076</v>
      </c>
      <c r="H430" s="4" t="s">
        <v>7</v>
      </c>
      <c r="I430" s="5">
        <v>-1730</v>
      </c>
      <c r="J430" s="5">
        <v>199620</v>
      </c>
    </row>
    <row r="431" spans="1:10" x14ac:dyDescent="0.3">
      <c r="A431" s="11">
        <f t="shared" si="12"/>
        <v>45269</v>
      </c>
      <c r="B431" t="str">
        <f t="shared" si="13"/>
        <v>430CHECK</v>
      </c>
      <c r="C431" t="str" cm="1">
        <f t="array" ref="C431">IFERROR(INDEX(Table1[Category],MATCH(B431,Table1[Unique ID Matches],0)),INDEX(Table2[Category],MATCH(TRUE,ISNUMBER(SEARCH(Table2[Unique ID Contains],B431)),0)))</f>
        <v>Payroll</v>
      </c>
      <c r="D431" t="str">
        <f>INDEX('13 weeks CF'!$C$9:$C$59,MATCH(C431,'13 weeks CF'!$C$9:$C$59,0))</f>
        <v>Payroll</v>
      </c>
      <c r="E431" s="3">
        <v>430</v>
      </c>
      <c r="F431" s="2">
        <v>45268</v>
      </c>
      <c r="G431" s="3">
        <v>80077</v>
      </c>
      <c r="H431" s="4" t="s">
        <v>7</v>
      </c>
      <c r="I431" s="5">
        <v>-940</v>
      </c>
      <c r="J431" s="5">
        <v>198680</v>
      </c>
    </row>
    <row r="432" spans="1:10" x14ac:dyDescent="0.3">
      <c r="A432" s="11">
        <f t="shared" si="12"/>
        <v>45269</v>
      </c>
      <c r="B432" t="str">
        <f t="shared" si="13"/>
        <v>431CHECK</v>
      </c>
      <c r="C432" t="str" cm="1">
        <f t="array" ref="C432">IFERROR(INDEX(Table1[Category],MATCH(B432,Table1[Unique ID Matches],0)),INDEX(Table2[Category],MATCH(TRUE,ISNUMBER(SEARCH(Table2[Unique ID Contains],B432)),0)))</f>
        <v>Accounts Payable</v>
      </c>
      <c r="D432" t="str">
        <f>INDEX('13 weeks CF'!$C$9:$C$59,MATCH(C432,'13 weeks CF'!$C$9:$C$59,0))</f>
        <v>Accounts Payable</v>
      </c>
      <c r="E432" s="3">
        <v>431</v>
      </c>
      <c r="F432" s="2">
        <v>45268</v>
      </c>
      <c r="G432" s="3">
        <v>80080</v>
      </c>
      <c r="H432" s="4" t="s">
        <v>7</v>
      </c>
      <c r="I432" s="5">
        <v>-89740</v>
      </c>
      <c r="J432" s="5">
        <v>108940</v>
      </c>
    </row>
  </sheetData>
  <autoFilter ref="A1:J432" xr:uid="{BA6A63F2-C707-4302-BE67-E22CD8E6DD54}">
    <sortState xmlns:xlrd2="http://schemas.microsoft.com/office/spreadsheetml/2017/richdata2" ref="A2:J432">
      <sortCondition ref="E1:E432"/>
    </sortState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C730-742A-4087-8B6E-47A6A2E071B6}">
  <dimension ref="A1:G23"/>
  <sheetViews>
    <sheetView workbookViewId="0"/>
  </sheetViews>
  <sheetFormatPr defaultRowHeight="13" x14ac:dyDescent="0.3"/>
  <cols>
    <col min="1" max="1" width="18" customWidth="1"/>
    <col min="2" max="2" width="15" bestFit="1" customWidth="1"/>
    <col min="3" max="3" width="15" customWidth="1"/>
    <col min="5" max="5" width="18.296875" customWidth="1"/>
    <col min="6" max="7" width="25.09765625" bestFit="1" customWidth="1"/>
  </cols>
  <sheetData>
    <row r="1" spans="1:7" x14ac:dyDescent="0.3">
      <c r="A1" t="s">
        <v>121</v>
      </c>
      <c r="B1" t="s">
        <v>30</v>
      </c>
      <c r="C1" t="s">
        <v>31</v>
      </c>
      <c r="E1" t="s">
        <v>122</v>
      </c>
      <c r="F1" t="s">
        <v>30</v>
      </c>
      <c r="G1" t="s">
        <v>31</v>
      </c>
    </row>
    <row r="2" spans="1:7" x14ac:dyDescent="0.3">
      <c r="A2" s="4" t="s">
        <v>123</v>
      </c>
      <c r="B2" s="4" t="s">
        <v>64</v>
      </c>
      <c r="C2" t="str">
        <f>INDEX('13 weeks CF'!$C$9:$C$59,MATCH(Table1[[#This Row],[Category]],'13 weeks CF'!$C$9:$C$59,0))</f>
        <v>Accounts Payable</v>
      </c>
      <c r="E2" s="4" t="s">
        <v>101</v>
      </c>
      <c r="F2" s="4" t="s">
        <v>86</v>
      </c>
      <c r="G2" t="str">
        <f>INDEX('13 weeks CF'!$C$9:$C$59,MATCH(Table2[[#This Row],[Category]],'13 weeks CF'!$C$9:$C$59,0))</f>
        <v>Other Operating Outflows</v>
      </c>
    </row>
    <row r="3" spans="1:7" x14ac:dyDescent="0.3">
      <c r="A3" s="4" t="s">
        <v>124</v>
      </c>
      <c r="B3" s="4" t="s">
        <v>64</v>
      </c>
      <c r="C3" t="str">
        <f>INDEX('13 weeks CF'!$C$9:$C$59,MATCH(Table1[[#This Row],[Category]],'13 weeks CF'!$C$9:$C$59,0))</f>
        <v>Accounts Payable</v>
      </c>
      <c r="E3" s="4" t="s">
        <v>102</v>
      </c>
      <c r="F3" s="4" t="s">
        <v>65</v>
      </c>
      <c r="G3" t="str">
        <f>INDEX('13 weeks CF'!$C$9:$C$59,MATCH(Table2[[#This Row],[Category]],'13 weeks CF'!$C$9:$C$59,0))</f>
        <v>Credit Cards</v>
      </c>
    </row>
    <row r="4" spans="1:7" x14ac:dyDescent="0.3">
      <c r="A4" s="4" t="s">
        <v>125</v>
      </c>
      <c r="B4" s="4" t="s">
        <v>64</v>
      </c>
      <c r="C4" t="str">
        <f>INDEX('13 weeks CF'!$C$9:$C$59,MATCH(Table1[[#This Row],[Category]],'13 weeks CF'!$C$9:$C$59,0))</f>
        <v>Accounts Payable</v>
      </c>
      <c r="E4" s="4" t="s">
        <v>7</v>
      </c>
      <c r="F4" s="4" t="s">
        <v>66</v>
      </c>
      <c r="G4" t="str">
        <f>INDEX('13 weeks CF'!$C$9:$C$59,MATCH(Table2[[#This Row],[Category]],'13 weeks CF'!$C$9:$C$59,0))</f>
        <v>Payroll</v>
      </c>
    </row>
    <row r="5" spans="1:7" x14ac:dyDescent="0.3">
      <c r="A5" s="4" t="s">
        <v>126</v>
      </c>
      <c r="B5" s="4" t="s">
        <v>64</v>
      </c>
      <c r="C5" t="str">
        <f>INDEX('13 weeks CF'!$C$9:$C$59,MATCH(Table1[[#This Row],[Category]],'13 weeks CF'!$C$9:$C$59,0))</f>
        <v>Accounts Payable</v>
      </c>
      <c r="E5" s="4" t="s">
        <v>103</v>
      </c>
      <c r="F5" s="4" t="s">
        <v>86</v>
      </c>
      <c r="G5" t="str">
        <f>INDEX('13 weeks CF'!$C$9:$C$59,MATCH(Table2[[#This Row],[Category]],'13 weeks CF'!$C$9:$C$59,0))</f>
        <v>Other Operating Outflows</v>
      </c>
    </row>
    <row r="6" spans="1:7" x14ac:dyDescent="0.3">
      <c r="A6" s="4" t="s">
        <v>127</v>
      </c>
      <c r="B6" s="4" t="s">
        <v>64</v>
      </c>
      <c r="C6" t="str">
        <f>INDEX('13 weeks CF'!$C$9:$C$59,MATCH(Table1[[#This Row],[Category]],'13 weeks CF'!$C$9:$C$59,0))</f>
        <v>Accounts Payable</v>
      </c>
      <c r="E6" s="4" t="s">
        <v>9</v>
      </c>
      <c r="F6" s="4" t="s">
        <v>59</v>
      </c>
      <c r="G6" t="str">
        <f>INDEX('13 weeks CF'!$C$9:$C$59,MATCH(Table2[[#This Row],[Category]],'13 weeks CF'!$C$9:$C$59,0))</f>
        <v>Invoiced AR + New Revenue</v>
      </c>
    </row>
    <row r="7" spans="1:7" x14ac:dyDescent="0.3">
      <c r="A7" s="4" t="s">
        <v>128</v>
      </c>
      <c r="B7" s="4" t="s">
        <v>64</v>
      </c>
      <c r="C7" t="str">
        <f>INDEX('13 weeks CF'!$C$9:$C$59,MATCH(Table1[[#This Row],[Category]],'13 weeks CF'!$C$9:$C$59,0))</f>
        <v>Accounts Payable</v>
      </c>
      <c r="E7" s="4" t="s">
        <v>104</v>
      </c>
      <c r="F7" s="4" t="s">
        <v>86</v>
      </c>
      <c r="G7" t="str">
        <f>INDEX('13 weeks CF'!$C$9:$C$59,MATCH(Table2[[#This Row],[Category]],'13 weeks CF'!$C$9:$C$59,0))</f>
        <v>Other Operating Outflows</v>
      </c>
    </row>
    <row r="8" spans="1:7" x14ac:dyDescent="0.3">
      <c r="A8" s="4" t="s">
        <v>129</v>
      </c>
      <c r="B8" s="4" t="s">
        <v>64</v>
      </c>
      <c r="C8" t="str">
        <f>INDEX('13 weeks CF'!$C$9:$C$59,MATCH(Table1[[#This Row],[Category]],'13 weeks CF'!$C$9:$C$59,0))</f>
        <v>Accounts Payable</v>
      </c>
      <c r="E8" s="4" t="s">
        <v>105</v>
      </c>
      <c r="F8" s="4" t="s">
        <v>74</v>
      </c>
      <c r="G8" t="str">
        <f>INDEX('13 weeks CF'!$C$9:$C$59,MATCH(Table2[[#This Row],[Category]],'13 weeks CF'!$C$9:$C$59,0))</f>
        <v>Professional Fees</v>
      </c>
    </row>
    <row r="9" spans="1:7" x14ac:dyDescent="0.3">
      <c r="A9" s="4" t="s">
        <v>130</v>
      </c>
      <c r="B9" s="4" t="s">
        <v>64</v>
      </c>
      <c r="C9" t="str">
        <f>INDEX('13 weeks CF'!$C$9:$C$59,MATCH(Table1[[#This Row],[Category]],'13 weeks CF'!$C$9:$C$59,0))</f>
        <v>Accounts Payable</v>
      </c>
      <c r="E9" s="4" t="s">
        <v>106</v>
      </c>
      <c r="F9" s="4" t="s">
        <v>93</v>
      </c>
      <c r="G9" t="str">
        <f>INDEX('13 weeks CF'!$C$9:$C$59,MATCH(Table2[[#This Row],[Category]],'13 weeks CF'!$C$9:$C$59,0))</f>
        <v>Tax Distributions</v>
      </c>
    </row>
    <row r="10" spans="1:7" x14ac:dyDescent="0.3">
      <c r="A10" s="4" t="s">
        <v>131</v>
      </c>
      <c r="B10" s="4" t="s">
        <v>64</v>
      </c>
      <c r="C10" t="str">
        <f>INDEX('13 weeks CF'!$C$9:$C$59,MATCH(Table1[[#This Row],[Category]],'13 weeks CF'!$C$9:$C$59,0))</f>
        <v>Accounts Payable</v>
      </c>
      <c r="E10" s="4" t="s">
        <v>107</v>
      </c>
      <c r="F10" s="4" t="s">
        <v>69</v>
      </c>
      <c r="G10" t="str">
        <f>INDEX('13 weeks CF'!$C$9:$C$59,MATCH(Table2[[#This Row],[Category]],'13 weeks CF'!$C$9:$C$59,0))</f>
        <v>Dues &amp; Subscriptions</v>
      </c>
    </row>
    <row r="11" spans="1:7" x14ac:dyDescent="0.3">
      <c r="A11" s="4" t="s">
        <v>132</v>
      </c>
      <c r="B11" s="4" t="s">
        <v>64</v>
      </c>
      <c r="C11" t="str">
        <f>INDEX('13 weeks CF'!$C$9:$C$59,MATCH(Table1[[#This Row],[Category]],'13 weeks CF'!$C$9:$C$59,0))</f>
        <v>Accounts Payable</v>
      </c>
      <c r="E11" s="4" t="s">
        <v>108</v>
      </c>
      <c r="F11" s="4" t="s">
        <v>65</v>
      </c>
      <c r="G11" t="str">
        <f>INDEX('13 weeks CF'!$C$9:$C$59,MATCH(Table2[[#This Row],[Category]],'13 weeks CF'!$C$9:$C$59,0))</f>
        <v>Credit Cards</v>
      </c>
    </row>
    <row r="12" spans="1:7" x14ac:dyDescent="0.3">
      <c r="A12" s="4" t="s">
        <v>133</v>
      </c>
      <c r="B12" s="4" t="s">
        <v>64</v>
      </c>
      <c r="C12" t="str">
        <f>INDEX('13 weeks CF'!$C$9:$C$59,MATCH(Table1[[#This Row],[Category]],'13 weeks CF'!$C$9:$C$59,0))</f>
        <v>Accounts Payable</v>
      </c>
      <c r="E12" s="4" t="s">
        <v>109</v>
      </c>
      <c r="F12" s="4" t="s">
        <v>71</v>
      </c>
      <c r="G12" t="str">
        <f>INDEX('13 weeks CF'!$C$9:$C$59,MATCH(Table2[[#This Row],[Category]],'13 weeks CF'!$C$9:$C$59,0))</f>
        <v>Lease Payments</v>
      </c>
    </row>
    <row r="13" spans="1:7" x14ac:dyDescent="0.3">
      <c r="A13" s="4" t="s">
        <v>134</v>
      </c>
      <c r="B13" s="4" t="s">
        <v>64</v>
      </c>
      <c r="C13" t="str">
        <f>INDEX('13 weeks CF'!$C$9:$C$59,MATCH(Table1[[#This Row],[Category]],'13 weeks CF'!$C$9:$C$59,0))</f>
        <v>Accounts Payable</v>
      </c>
      <c r="E13" s="4" t="s">
        <v>110</v>
      </c>
      <c r="F13" s="4" t="s">
        <v>80</v>
      </c>
      <c r="G13" t="str">
        <f>INDEX('13 weeks CF'!$C$9:$C$59,MATCH(Table2[[#This Row],[Category]],'13 weeks CF'!$C$9:$C$59,0))</f>
        <v>Technology</v>
      </c>
    </row>
    <row r="14" spans="1:7" x14ac:dyDescent="0.3">
      <c r="A14" s="4" t="s">
        <v>135</v>
      </c>
      <c r="B14" s="4" t="s">
        <v>64</v>
      </c>
      <c r="C14" t="str">
        <f>INDEX('13 weeks CF'!$C$9:$C$59,MATCH(Table1[[#This Row],[Category]],'13 weeks CF'!$C$9:$C$59,0))</f>
        <v>Accounts Payable</v>
      </c>
      <c r="E14" s="4" t="s">
        <v>111</v>
      </c>
      <c r="F14" s="4" t="s">
        <v>66</v>
      </c>
      <c r="G14" t="str">
        <f>INDEX('13 weeks CF'!$C$9:$C$59,MATCH(Table2[[#This Row],[Category]],'13 weeks CF'!$C$9:$C$59,0))</f>
        <v>Payroll</v>
      </c>
    </row>
    <row r="15" spans="1:7" x14ac:dyDescent="0.3">
      <c r="A15" s="4" t="s">
        <v>136</v>
      </c>
      <c r="B15" s="4" t="s">
        <v>64</v>
      </c>
      <c r="C15" t="str">
        <f>INDEX('13 weeks CF'!$C$9:$C$59,MATCH(Table1[[#This Row],[Category]],'13 weeks CF'!$C$9:$C$59,0))</f>
        <v>Accounts Payable</v>
      </c>
      <c r="E15" s="4" t="s">
        <v>112</v>
      </c>
      <c r="F15" s="4" t="s">
        <v>72</v>
      </c>
      <c r="G15" t="str">
        <f>INDEX('13 weeks CF'!$C$9:$C$59,MATCH(Table2[[#This Row],[Category]],'13 weeks CF'!$C$9:$C$59,0))</f>
        <v>Marketing</v>
      </c>
    </row>
    <row r="16" spans="1:7" x14ac:dyDescent="0.3">
      <c r="A16" s="4" t="s">
        <v>137</v>
      </c>
      <c r="B16" s="4" t="s">
        <v>64</v>
      </c>
      <c r="C16" t="str">
        <f>INDEX('13 weeks CF'!$C$9:$C$59,MATCH(Table1[[#This Row],[Category]],'13 weeks CF'!$C$9:$C$59,0))</f>
        <v>Accounts Payable</v>
      </c>
      <c r="E16" s="4" t="s">
        <v>113</v>
      </c>
      <c r="F16" s="4" t="s">
        <v>59</v>
      </c>
      <c r="G16" t="str">
        <f>INDEX('13 weeks CF'!$C$9:$C$59,MATCH(Table2[[#This Row],[Category]],'13 weeks CF'!$C$9:$C$59,0))</f>
        <v>Invoiced AR + New Revenue</v>
      </c>
    </row>
    <row r="17" spans="1:7" x14ac:dyDescent="0.3">
      <c r="A17" s="4" t="s">
        <v>138</v>
      </c>
      <c r="B17" s="4" t="s">
        <v>64</v>
      </c>
      <c r="C17" t="str">
        <f>INDEX('13 weeks CF'!$C$9:$C$59,MATCH(Table1[[#This Row],[Category]],'13 weeks CF'!$C$9:$C$59,0))</f>
        <v>Accounts Payable</v>
      </c>
      <c r="E17" s="4" t="s">
        <v>114</v>
      </c>
      <c r="F17" s="4" t="s">
        <v>93</v>
      </c>
      <c r="G17" t="str">
        <f>INDEX('13 weeks CF'!$C$9:$C$59,MATCH(Table2[[#This Row],[Category]],'13 weeks CF'!$C$9:$C$59,0))</f>
        <v>Tax Distributions</v>
      </c>
    </row>
    <row r="18" spans="1:7" x14ac:dyDescent="0.3">
      <c r="A18" s="4" t="s">
        <v>139</v>
      </c>
      <c r="B18" s="4" t="s">
        <v>64</v>
      </c>
      <c r="C18" t="str">
        <f>INDEX('13 weeks CF'!$C$9:$C$59,MATCH(Table1[[#This Row],[Category]],'13 weeks CF'!$C$9:$C$59,0))</f>
        <v>Accounts Payable</v>
      </c>
      <c r="E18" s="4" t="s">
        <v>115</v>
      </c>
      <c r="F18" s="4" t="s">
        <v>84</v>
      </c>
      <c r="G18" t="str">
        <f>INDEX('13 weeks CF'!$C$9:$C$59,MATCH(Table2[[#This Row],[Category]],'13 weeks CF'!$C$9:$C$59,0))</f>
        <v>Vehicles</v>
      </c>
    </row>
    <row r="19" spans="1:7" x14ac:dyDescent="0.3">
      <c r="A19" s="4" t="s">
        <v>140</v>
      </c>
      <c r="B19" s="4" t="s">
        <v>64</v>
      </c>
      <c r="C19" t="str">
        <f>INDEX('13 weeks CF'!$C$9:$C$59,MATCH(Table1[[#This Row],[Category]],'13 weeks CF'!$C$9:$C$59,0))</f>
        <v>Accounts Payable</v>
      </c>
      <c r="E19" s="4" t="s">
        <v>116</v>
      </c>
      <c r="F19" s="4" t="s">
        <v>84</v>
      </c>
      <c r="G19" t="str">
        <f>INDEX('13 weeks CF'!$C$9:$C$59,MATCH(Table2[[#This Row],[Category]],'13 weeks CF'!$C$9:$C$59,0))</f>
        <v>Vehicles</v>
      </c>
    </row>
    <row r="20" spans="1:7" x14ac:dyDescent="0.3">
      <c r="A20" s="4" t="s">
        <v>141</v>
      </c>
      <c r="B20" s="4" t="s">
        <v>64</v>
      </c>
      <c r="C20" t="str">
        <f>INDEX('13 weeks CF'!$C$9:$C$59,MATCH(Table1[[#This Row],[Category]],'13 weeks CF'!$C$9:$C$59,0))</f>
        <v>Accounts Payable</v>
      </c>
      <c r="E20" s="4" t="s">
        <v>117</v>
      </c>
      <c r="F20" s="4" t="s">
        <v>59</v>
      </c>
      <c r="G20" t="str">
        <f>INDEX('13 weeks CF'!$C$9:$C$59,MATCH(Table2[[#This Row],[Category]],'13 weeks CF'!$C$9:$C$59,0))</f>
        <v>Invoiced AR + New Revenue</v>
      </c>
    </row>
    <row r="21" spans="1:7" x14ac:dyDescent="0.3">
      <c r="A21" s="4" t="s">
        <v>142</v>
      </c>
      <c r="B21" s="4" t="s">
        <v>64</v>
      </c>
      <c r="C21" t="str">
        <f>INDEX('13 weeks CF'!$C$9:$C$59,MATCH(Table1[[#This Row],[Category]],'13 weeks CF'!$C$9:$C$59,0))</f>
        <v>Accounts Payable</v>
      </c>
      <c r="E21" s="4" t="s">
        <v>118</v>
      </c>
      <c r="F21" s="4" t="s">
        <v>96</v>
      </c>
      <c r="G21" t="str">
        <f>INDEX('13 weeks CF'!$C$9:$C$59,MATCH(Table2[[#This Row],[Category]],'13 weeks CF'!$C$9:$C$59,0))</f>
        <v>Other Non-operating Outflows</v>
      </c>
    </row>
    <row r="22" spans="1:7" x14ac:dyDescent="0.3">
      <c r="A22" s="4" t="s">
        <v>143</v>
      </c>
      <c r="B22" s="4" t="s">
        <v>64</v>
      </c>
      <c r="C22" t="str">
        <f>INDEX('13 weeks CF'!$C$9:$C$59,MATCH(Table1[[#This Row],[Category]],'13 weeks CF'!$C$9:$C$59,0))</f>
        <v>Accounts Payable</v>
      </c>
      <c r="E22" s="4" t="s">
        <v>119</v>
      </c>
      <c r="F22" s="4" t="s">
        <v>96</v>
      </c>
      <c r="G22" t="str">
        <f>INDEX('13 weeks CF'!$C$9:$C$59,MATCH(Table2[[#This Row],[Category]],'13 weeks CF'!$C$9:$C$59,0))</f>
        <v>Other Non-operating Outflows</v>
      </c>
    </row>
    <row r="23" spans="1:7" x14ac:dyDescent="0.3">
      <c r="A23" s="4" t="s">
        <v>264</v>
      </c>
      <c r="B23" s="4" t="s">
        <v>64</v>
      </c>
      <c r="C23" t="str">
        <f>INDEX('13 weeks CF'!$C$9:$C$59,MATCH(Table1[[#This Row],[Category]],'13 weeks CF'!$C$9:$C$59,0))</f>
        <v>Accounts Payable</v>
      </c>
      <c r="E23" s="4" t="s">
        <v>120</v>
      </c>
      <c r="F23" s="4" t="s">
        <v>96</v>
      </c>
      <c r="G23" t="str">
        <f>INDEX('13 weeks CF'!$C$9:$C$59,MATCH(Table2[[#This Row],[Category]],'13 weeks CF'!$C$9:$C$59,0))</f>
        <v>Other Non-operating Outflows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607D-CB6E-439F-8340-484272048779}">
  <dimension ref="B2:D12"/>
  <sheetViews>
    <sheetView showGridLines="0" zoomScale="140" zoomScaleNormal="140" workbookViewId="0">
      <pane ySplit="3" topLeftCell="A4" activePane="bottomLeft" state="frozen"/>
      <selection pane="bottomLeft" activeCell="D12" sqref="D12"/>
    </sheetView>
  </sheetViews>
  <sheetFormatPr defaultRowHeight="13" x14ac:dyDescent="0.3"/>
  <cols>
    <col min="1" max="1" width="2.69921875" customWidth="1"/>
    <col min="2" max="2" width="28.296875" bestFit="1" customWidth="1"/>
    <col min="3" max="3" width="2.69921875" customWidth="1"/>
  </cols>
  <sheetData>
    <row r="2" spans="2:4" x14ac:dyDescent="0.3">
      <c r="B2" t="s">
        <v>33</v>
      </c>
    </row>
    <row r="4" spans="2:4" x14ac:dyDescent="0.3">
      <c r="B4" t="s">
        <v>34</v>
      </c>
      <c r="D4" s="10" t="s">
        <v>35</v>
      </c>
    </row>
    <row r="6" spans="2:4" x14ac:dyDescent="0.3">
      <c r="B6" t="s">
        <v>36</v>
      </c>
      <c r="D6" s="10" t="s">
        <v>37</v>
      </c>
    </row>
    <row r="8" spans="2:4" x14ac:dyDescent="0.3">
      <c r="B8" t="s">
        <v>38</v>
      </c>
      <c r="D8" s="10" t="s">
        <v>39</v>
      </c>
    </row>
    <row r="10" spans="2:4" x14ac:dyDescent="0.3">
      <c r="B10" t="s">
        <v>40</v>
      </c>
      <c r="D10" s="10" t="s">
        <v>41</v>
      </c>
    </row>
    <row r="12" spans="2:4" x14ac:dyDescent="0.3">
      <c r="B12" t="s">
        <v>42</v>
      </c>
      <c r="D12" s="10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Error Checking</vt:lpstr>
      <vt:lpstr>INSTRUCTIONS</vt:lpstr>
      <vt:lpstr>Summary Dashboard</vt:lpstr>
      <vt:lpstr>Variance Analysis</vt:lpstr>
      <vt:lpstr>Rolling CF</vt:lpstr>
      <vt:lpstr>13 weeks CF</vt:lpstr>
      <vt:lpstr>AR Aging 02</vt:lpstr>
      <vt:lpstr>AR Aging 01</vt:lpstr>
      <vt:lpstr>AP Aging 02</vt:lpstr>
      <vt:lpstr>AP Aging 01</vt:lpstr>
      <vt:lpstr>Actuals</vt:lpstr>
      <vt:lpstr>Transaction Mapping</vt:lpstr>
      <vt:lpstr>Formula Helpers</vt:lpstr>
      <vt:lpstr>'Summary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Reilly</dc:creator>
  <cp:lastModifiedBy>Prachi Jain</cp:lastModifiedBy>
  <cp:lastPrinted>2024-09-12T18:32:33Z</cp:lastPrinted>
  <dcterms:created xsi:type="dcterms:W3CDTF">2024-08-19T21:01:07Z</dcterms:created>
  <dcterms:modified xsi:type="dcterms:W3CDTF">2026-09-21T23:53:57Z</dcterms:modified>
</cp:coreProperties>
</file>